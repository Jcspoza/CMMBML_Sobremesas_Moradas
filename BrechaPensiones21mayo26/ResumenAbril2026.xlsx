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d291838b10efa6/Documentos/GitHub/CMMBML_Sobremesas_Modradas/BrechaPensiones21mayo26/"/>
    </mc:Choice>
  </mc:AlternateContent>
  <xr:revisionPtr revIDLastSave="6" documentId="8_{61527733-7704-45B9-84E3-00E8323A9C4C}" xr6:coauthVersionLast="47" xr6:coauthVersionMax="47" xr10:uidLastSave="{2D3F9F39-4119-4C87-8E56-7889521F201B}"/>
  <bookViews>
    <workbookView xWindow="-120" yWindow="-120" windowWidth="20730" windowHeight="11040" xr2:uid="{B4F7930C-2F0B-4481-8C8E-754286E3F8C0}"/>
  </bookViews>
  <sheets>
    <sheet name="Edades_Total sistema" sheetId="1" r:id="rId1"/>
    <sheet name="Resumen de datos" sheetId="2" r:id="rId2"/>
  </sheets>
  <definedNames>
    <definedName name="_Dist_Values" localSheetId="1" hidden="1">#REF!</definedName>
    <definedName name="_Dist_Values" hidden="1">#REF!</definedName>
    <definedName name="_xlnm.Print_Area" localSheetId="0">'Edades_Total sistema'!$A$1:$W$51</definedName>
    <definedName name="_xlnm.Print_Area" localSheetId="1">'Resumen de datos'!$A$1:$D$43</definedName>
    <definedName name="_xlnm.Print_Area">#REF!</definedName>
    <definedName name="DATOS">#REF!</definedName>
    <definedName name="Datos_básicos">'Resumen de datos'!$A$1:$D$41</definedName>
    <definedName name="Mes">#REF!</definedName>
    <definedName name="MESES">"enero, febrero, marzo, abril, mayo, junio, julio, agosto, septiembre, octubre, noviembre, diciembre"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E6" i="2"/>
  <c r="Q48" i="1"/>
  <c r="P48" i="1"/>
  <c r="Y47" i="1"/>
  <c r="X47" i="1"/>
  <c r="Q47" i="1"/>
  <c r="P47" i="1"/>
  <c r="I47" i="1"/>
  <c r="H47" i="1"/>
  <c r="Y46" i="1"/>
  <c r="X46" i="1"/>
  <c r="Q46" i="1"/>
  <c r="P46" i="1"/>
  <c r="I46" i="1"/>
  <c r="H46" i="1"/>
  <c r="Y45" i="1"/>
  <c r="X45" i="1"/>
  <c r="Q45" i="1"/>
  <c r="P45" i="1"/>
  <c r="I45" i="1"/>
  <c r="H45" i="1"/>
  <c r="Y44" i="1"/>
  <c r="X44" i="1"/>
  <c r="Q44" i="1"/>
  <c r="P44" i="1"/>
  <c r="I44" i="1"/>
  <c r="H44" i="1"/>
  <c r="Y43" i="1"/>
  <c r="X43" i="1"/>
  <c r="Q43" i="1"/>
  <c r="P43" i="1"/>
  <c r="I43" i="1"/>
  <c r="H43" i="1"/>
  <c r="Y30" i="1"/>
  <c r="X30" i="1"/>
  <c r="Q30" i="1"/>
  <c r="P30" i="1"/>
  <c r="I30" i="1"/>
  <c r="H30" i="1"/>
  <c r="Y24" i="1"/>
  <c r="X24" i="1"/>
  <c r="Q24" i="1"/>
  <c r="P24" i="1"/>
  <c r="I24" i="1"/>
  <c r="H24" i="1"/>
  <c r="Y23" i="1"/>
  <c r="X23" i="1"/>
  <c r="Q23" i="1"/>
  <c r="P23" i="1"/>
  <c r="I23" i="1"/>
  <c r="H23" i="1"/>
  <c r="Y22" i="1"/>
  <c r="X22" i="1"/>
  <c r="Q22" i="1"/>
  <c r="P22" i="1"/>
  <c r="I22" i="1"/>
  <c r="H22" i="1"/>
  <c r="Y21" i="1"/>
  <c r="X21" i="1"/>
  <c r="Q21" i="1"/>
  <c r="P21" i="1"/>
  <c r="I21" i="1"/>
  <c r="H21" i="1"/>
  <c r="Y20" i="1"/>
  <c r="X20" i="1"/>
  <c r="Q20" i="1"/>
  <c r="P20" i="1"/>
  <c r="I20" i="1"/>
  <c r="H20" i="1"/>
  <c r="Y19" i="1"/>
  <c r="X19" i="1"/>
  <c r="Q19" i="1"/>
  <c r="P19" i="1"/>
  <c r="I19" i="1"/>
  <c r="H19" i="1"/>
  <c r="Y18" i="1"/>
  <c r="X18" i="1"/>
  <c r="Q18" i="1"/>
  <c r="P18" i="1"/>
  <c r="I18" i="1"/>
  <c r="H18" i="1"/>
  <c r="Y17" i="1"/>
  <c r="X17" i="1"/>
  <c r="Y16" i="1"/>
  <c r="X16" i="1"/>
  <c r="Y6" i="1"/>
  <c r="X6" i="1"/>
  <c r="Q6" i="1"/>
  <c r="P6" i="1"/>
  <c r="I6" i="1"/>
  <c r="H6" i="1"/>
</calcChain>
</file>

<file path=xl/sharedStrings.xml><?xml version="1.0" encoding="utf-8"?>
<sst xmlns="http://schemas.openxmlformats.org/spreadsheetml/2006/main" count="299" uniqueCount="67">
  <si>
    <t>PENSIONES EN VIGOR A 1 DE ABRIL DE 2026
 según grupo de edad
 por régimen de Seguridad Social, clase de pensión y sexo</t>
  </si>
  <si>
    <t>TOTAL SISTEMA</t>
  </si>
  <si>
    <t>GRUPO DE EDAD</t>
  </si>
  <si>
    <t>TOTAL PENSIONES</t>
  </si>
  <si>
    <t>INCAPACIDAD PERMANENTE</t>
  </si>
  <si>
    <t>JUBILACIÓN</t>
  </si>
  <si>
    <t>Ambos sexos (*)</t>
  </si>
  <si>
    <t>Hombres</t>
  </si>
  <si>
    <t>Mujeres</t>
  </si>
  <si>
    <t>BRECHA</t>
  </si>
  <si>
    <t>Número</t>
  </si>
  <si>
    <r>
      <t xml:space="preserve">P. media
</t>
    </r>
    <r>
      <rPr>
        <sz val="8"/>
        <rFont val="Tahoma"/>
        <family val="2"/>
      </rPr>
      <t>(€/mes)</t>
    </r>
  </si>
  <si>
    <t>Cuantia</t>
  </si>
  <si>
    <t>% Mujeres</t>
  </si>
  <si>
    <t>Total</t>
  </si>
  <si>
    <t>0 - 4</t>
  </si>
  <si>
    <t>-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</si>
  <si>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</si>
  <si>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</si>
  <si>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</si>
  <si>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</si>
  <si>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</si>
  <si>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</si>
  <si>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</si>
  <si>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</si>
  <si>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</si>
  <si>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</si>
  <si>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</si>
  <si>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</si>
  <si>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</si>
  <si>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</si>
  <si>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</si>
  <si>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</si>
  <si>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y más</t>
  </si>
  <si>
    <t>No consta</t>
  </si>
  <si>
    <t>Edad media</t>
  </si>
  <si>
    <t xml:space="preserve">años        </t>
  </si>
  <si>
    <t>VIUDEDAD</t>
  </si>
  <si>
    <t>ORFANDAD</t>
  </si>
  <si>
    <t>FAVOR DE FAMILIARES</t>
  </si>
  <si>
    <t>(*) Ambos sexos incluye, en su caso, los supuestos de "No consta sexo".</t>
  </si>
  <si>
    <t>PENSIONISTAS EN ALTA A 1 DE ABRIL DE 2026 
según sexo</t>
  </si>
  <si>
    <t>AMBOS SEXOS (*)</t>
  </si>
  <si>
    <t>MUJERES</t>
  </si>
  <si>
    <t>HOMBRES</t>
  </si>
  <si>
    <t>Número de pensionistas</t>
  </si>
  <si>
    <t>Importe medio mensual</t>
  </si>
  <si>
    <t>Número de pensiones</t>
  </si>
  <si>
    <t>Pensiones/ pensionista</t>
  </si>
  <si>
    <t>Pensionistas por clase de pensión (**)</t>
  </si>
  <si>
    <t>Incapacidad Permanente</t>
  </si>
  <si>
    <t>Jubilación</t>
  </si>
  <si>
    <t>Viudedad</t>
  </si>
  <si>
    <t>Orfandad</t>
  </si>
  <si>
    <t>Favor de familiares</t>
  </si>
  <si>
    <t/>
  </si>
  <si>
    <t>Pensionistas con mínimos</t>
  </si>
  <si>
    <t>Porcentaje sobre el total</t>
  </si>
  <si>
    <t>Pluripensionistas del Sistema</t>
  </si>
  <si>
    <t>MOVIMIENTOS DE PENSIONISTAS EN EL MES DE MARZO DE 2026</t>
  </si>
  <si>
    <t>Altas iniciales de pensionistas</t>
  </si>
  <si>
    <t>Número de altas</t>
  </si>
  <si>
    <t>Porcentaje de mínimos</t>
  </si>
  <si>
    <t>Bajas definitivas de pensionistas</t>
  </si>
  <si>
    <t>Número de bajas</t>
  </si>
  <si>
    <t>(*) Incluye, en su caso, pensionistas de los que no consta sexo.</t>
  </si>
  <si>
    <t>(**) En los supuestos de titulares de varias pensiones, el pensionista está computado únicamente bajo las características de la pensión considerada principal (ver nota metodológica).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</si>
</sst>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"/>
    <numFmt numFmtId="167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b/>
      <sz val="8"/>
      <name val="Verdana"/>
      <family val="2"/>
    </font>
    <font>
      <sz val="8"/>
      <name val="Verdana"/>
      <family val="2"/>
    </font>
    <font>
      <sz val="12"/>
      <name val="Arial"/>
      <family val="2"/>
    </font>
    <font>
      <sz val="14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0"/>
      <color indexed="17"/>
      <name val="Tahoma"/>
      <family val="2"/>
    </font>
    <font>
      <b/>
      <sz val="12"/>
      <color indexed="17"/>
      <name val="Times New Roman"/>
      <family val="1"/>
    </font>
    <font>
      <b/>
      <sz val="12"/>
      <name val="Times New Roman"/>
      <family val="1"/>
    </font>
    <font>
      <sz val="9"/>
      <name val="Tahoma"/>
      <family val="2"/>
    </font>
    <font>
      <b/>
      <sz val="11"/>
      <name val="Tahoma"/>
      <family val="2"/>
    </font>
    <font>
      <b/>
      <sz val="13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0" fontId="10" fillId="0" borderId="0"/>
    <xf numFmtId="9" fontId="2" fillId="0" borderId="0" applyFont="0" applyFill="0" applyBorder="0" applyAlignment="0" applyProtection="0"/>
    <xf numFmtId="0" fontId="1" fillId="0" borderId="0"/>
  </cellStyleXfs>
  <cellXfs count="161">
    <xf numFmtId="0" fontId="0" fillId="0" borderId="0" xfId="0"/>
    <xf numFmtId="0" fontId="2" fillId="0" borderId="0" xfId="5"/>
    <xf numFmtId="3" fontId="5" fillId="0" borderId="18" xfId="5" applyNumberFormat="1" applyFont="1" applyBorder="1" applyAlignment="1">
      <alignment horizontal="center" vertical="center"/>
    </xf>
    <xf numFmtId="4" fontId="5" fillId="0" borderId="19" xfId="5" applyNumberFormat="1" applyFont="1" applyBorder="1" applyAlignment="1">
      <alignment horizontal="center" vertical="center" wrapText="1"/>
    </xf>
    <xf numFmtId="4" fontId="5" fillId="0" borderId="6" xfId="5" applyNumberFormat="1" applyFont="1" applyBorder="1" applyAlignment="1">
      <alignment horizontal="center" vertical="center" wrapText="1"/>
    </xf>
    <xf numFmtId="0" fontId="2" fillId="0" borderId="6" xfId="5" applyBorder="1" applyAlignment="1">
      <alignment vertical="center"/>
    </xf>
    <xf numFmtId="3" fontId="5" fillId="0" borderId="19" xfId="5" applyNumberFormat="1" applyFont="1" applyBorder="1" applyAlignment="1">
      <alignment horizontal="center" vertical="center"/>
    </xf>
    <xf numFmtId="0" fontId="7" fillId="2" borderId="20" xfId="5" applyFont="1" applyFill="1" applyBorder="1" applyAlignment="1">
      <alignment vertical="center"/>
    </xf>
    <xf numFmtId="164" fontId="8" fillId="2" borderId="20" xfId="1" applyNumberFormat="1" applyFont="1" applyFill="1" applyBorder="1" applyAlignment="1">
      <alignment horizontal="right" vertical="center"/>
    </xf>
    <xf numFmtId="43" fontId="8" fillId="2" borderId="20" xfId="1" applyFont="1" applyFill="1" applyBorder="1" applyAlignment="1">
      <alignment horizontal="right" vertical="center"/>
    </xf>
    <xf numFmtId="10" fontId="8" fillId="2" borderId="4" xfId="3" applyNumberFormat="1" applyFont="1" applyFill="1" applyBorder="1" applyAlignment="1">
      <alignment horizontal="right" vertical="center"/>
    </xf>
    <xf numFmtId="164" fontId="8" fillId="2" borderId="4" xfId="1" applyNumberFormat="1" applyFont="1" applyFill="1" applyBorder="1" applyAlignment="1">
      <alignment horizontal="right" vertical="center"/>
    </xf>
    <xf numFmtId="43" fontId="8" fillId="2" borderId="4" xfId="1" applyFont="1" applyFill="1" applyBorder="1" applyAlignment="1">
      <alignment horizontal="right" vertical="center"/>
    </xf>
    <xf numFmtId="0" fontId="7" fillId="0" borderId="0" xfId="5" applyFont="1" applyAlignment="1">
      <alignment vertical="center"/>
    </xf>
    <xf numFmtId="164" fontId="9" fillId="2" borderId="0" xfId="1" applyNumberFormat="1" applyFont="1" applyFill="1" applyAlignment="1">
      <alignment horizontal="right" vertical="center"/>
    </xf>
    <xf numFmtId="43" fontId="9" fillId="2" borderId="0" xfId="1" applyFont="1" applyFill="1" applyAlignment="1">
      <alignment horizontal="right" vertical="center"/>
    </xf>
    <xf numFmtId="164" fontId="9" fillId="0" borderId="0" xfId="1" applyNumberFormat="1" applyFont="1" applyAlignment="1">
      <alignment horizontal="right" vertical="center"/>
    </xf>
    <xf numFmtId="43" fontId="9" fillId="0" borderId="0" xfId="1" applyFont="1" applyAlignment="1">
      <alignment horizontal="right" vertical="center"/>
    </xf>
    <xf numFmtId="164" fontId="9" fillId="2" borderId="6" xfId="1" applyNumberFormat="1" applyFont="1" applyFill="1" applyBorder="1" applyAlignment="1">
      <alignment horizontal="right" vertical="center"/>
    </xf>
    <xf numFmtId="43" fontId="9" fillId="2" borderId="6" xfId="1" applyFont="1" applyFill="1" applyBorder="1" applyAlignment="1">
      <alignment horizontal="right" vertical="center"/>
    </xf>
    <xf numFmtId="164" fontId="9" fillId="0" borderId="6" xfId="1" applyNumberFormat="1" applyFont="1" applyBorder="1" applyAlignment="1">
      <alignment horizontal="right" vertical="center"/>
    </xf>
    <xf numFmtId="43" fontId="9" fillId="0" borderId="6" xfId="1" applyFont="1" applyBorder="1" applyAlignment="1">
      <alignment horizontal="right" vertical="center"/>
    </xf>
    <xf numFmtId="0" fontId="2" fillId="0" borderId="6" xfId="5" applyBorder="1"/>
    <xf numFmtId="0" fontId="7" fillId="0" borderId="0" xfId="5" quotePrefix="1" applyFont="1" applyAlignment="1">
      <alignment vertical="center"/>
    </xf>
    <xf numFmtId="10" fontId="8" fillId="2" borderId="6" xfId="3" applyNumberFormat="1" applyFont="1" applyFill="1" applyBorder="1" applyAlignment="1">
      <alignment horizontal="right" vertical="center"/>
    </xf>
    <xf numFmtId="10" fontId="8" fillId="5" borderId="6" xfId="3" applyNumberFormat="1" applyFont="1" applyFill="1" applyBorder="1" applyAlignment="1">
      <alignment horizontal="right" vertical="center"/>
    </xf>
    <xf numFmtId="0" fontId="7" fillId="0" borderId="4" xfId="5" applyFont="1" applyBorder="1" applyAlignment="1">
      <alignment vertical="center"/>
    </xf>
    <xf numFmtId="3" fontId="8" fillId="2" borderId="4" xfId="1" applyNumberFormat="1" applyFont="1" applyFill="1" applyBorder="1" applyAlignment="1">
      <alignment horizontal="right" vertical="center"/>
    </xf>
    <xf numFmtId="4" fontId="8" fillId="2" borderId="4" xfId="1" applyNumberFormat="1" applyFont="1" applyFill="1" applyBorder="1" applyAlignment="1">
      <alignment horizontal="right" vertical="center"/>
    </xf>
    <xf numFmtId="3" fontId="8" fillId="0" borderId="4" xfId="1" applyNumberFormat="1" applyFont="1" applyFill="1" applyBorder="1" applyAlignment="1">
      <alignment horizontal="right" vertical="center"/>
    </xf>
    <xf numFmtId="4" fontId="8" fillId="0" borderId="4" xfId="1" applyNumberFormat="1" applyFont="1" applyFill="1" applyBorder="1" applyAlignment="1">
      <alignment horizontal="right" vertical="center"/>
    </xf>
    <xf numFmtId="3" fontId="8" fillId="0" borderId="4" xfId="1" applyNumberFormat="1" applyFont="1" applyBorder="1" applyAlignment="1">
      <alignment horizontal="right" vertical="center"/>
    </xf>
    <xf numFmtId="4" fontId="8" fillId="0" borderId="4" xfId="1" applyNumberFormat="1" applyFont="1" applyBorder="1" applyAlignment="1">
      <alignment horizontal="right" vertical="center"/>
    </xf>
    <xf numFmtId="3" fontId="8" fillId="2" borderId="6" xfId="1" applyNumberFormat="1" applyFont="1" applyFill="1" applyBorder="1" applyAlignment="1">
      <alignment horizontal="right" vertical="center"/>
    </xf>
    <xf numFmtId="4" fontId="8" fillId="2" borderId="6" xfId="1" applyNumberFormat="1" applyFont="1" applyFill="1" applyBorder="1" applyAlignment="1">
      <alignment horizontal="right" vertical="center"/>
    </xf>
    <xf numFmtId="3" fontId="8" fillId="0" borderId="6" xfId="1" applyNumberFormat="1" applyFont="1" applyBorder="1" applyAlignment="1">
      <alignment horizontal="right" vertical="center"/>
    </xf>
    <xf numFmtId="4" fontId="8" fillId="0" borderId="6" xfId="1" applyNumberFormat="1" applyFont="1" applyBorder="1" applyAlignment="1">
      <alignment horizontal="right" vertical="center"/>
    </xf>
    <xf numFmtId="4" fontId="2" fillId="0" borderId="6" xfId="6" applyNumberFormat="1" applyBorder="1"/>
    <xf numFmtId="4" fontId="2" fillId="0" borderId="0" xfId="6" applyNumberFormat="1"/>
    <xf numFmtId="3" fontId="2" fillId="0" borderId="0" xfId="6" applyNumberFormat="1"/>
    <xf numFmtId="0" fontId="2" fillId="0" borderId="22" xfId="5" applyBorder="1" applyAlignment="1">
      <alignment vertical="center"/>
    </xf>
    <xf numFmtId="3" fontId="5" fillId="0" borderId="6" xfId="5" applyNumberFormat="1" applyFont="1" applyBorder="1" applyAlignment="1">
      <alignment horizontal="center" vertical="center"/>
    </xf>
    <xf numFmtId="0" fontId="7" fillId="8" borderId="20" xfId="5" applyFont="1" applyFill="1" applyBorder="1" applyAlignment="1">
      <alignment vertical="center"/>
    </xf>
    <xf numFmtId="164" fontId="8" fillId="2" borderId="6" xfId="1" applyNumberFormat="1" applyFont="1" applyFill="1" applyBorder="1" applyAlignment="1">
      <alignment horizontal="right" vertical="center"/>
    </xf>
    <xf numFmtId="43" fontId="8" fillId="2" borderId="6" xfId="1" applyFont="1" applyFill="1" applyBorder="1" applyAlignment="1">
      <alignment horizontal="right" vertical="center"/>
    </xf>
    <xf numFmtId="0" fontId="7" fillId="0" borderId="23" xfId="5" applyFont="1" applyBorder="1" applyAlignment="1">
      <alignment vertical="center"/>
    </xf>
    <xf numFmtId="3" fontId="8" fillId="2" borderId="23" xfId="1" applyNumberFormat="1" applyFont="1" applyFill="1" applyBorder="1" applyAlignment="1">
      <alignment horizontal="right" vertical="center"/>
    </xf>
    <xf numFmtId="4" fontId="8" fillId="2" borderId="23" xfId="1" applyNumberFormat="1" applyFont="1" applyFill="1" applyBorder="1" applyAlignment="1">
      <alignment horizontal="right" vertical="center"/>
    </xf>
    <xf numFmtId="3" fontId="8" fillId="0" borderId="23" xfId="1" applyNumberFormat="1" applyFont="1" applyFill="1" applyBorder="1" applyAlignment="1">
      <alignment horizontal="right" vertical="center"/>
    </xf>
    <xf numFmtId="4" fontId="8" fillId="0" borderId="23" xfId="1" applyNumberFormat="1" applyFont="1" applyFill="1" applyBorder="1" applyAlignment="1">
      <alignment horizontal="right" vertical="center"/>
    </xf>
    <xf numFmtId="3" fontId="8" fillId="0" borderId="23" xfId="1" applyNumberFormat="1" applyFont="1" applyBorder="1" applyAlignment="1">
      <alignment horizontal="right" vertical="center"/>
    </xf>
    <xf numFmtId="4" fontId="8" fillId="0" borderId="23" xfId="1" applyNumberFormat="1" applyFont="1" applyBorder="1" applyAlignment="1">
      <alignment horizontal="right" vertical="center"/>
    </xf>
    <xf numFmtId="3" fontId="2" fillId="0" borderId="6" xfId="6" applyNumberFormat="1" applyBorder="1"/>
    <xf numFmtId="0" fontId="5" fillId="0" borderId="0" xfId="5" applyFont="1"/>
    <xf numFmtId="3" fontId="10" fillId="0" borderId="0" xfId="5" applyNumberFormat="1" applyFont="1"/>
    <xf numFmtId="0" fontId="10" fillId="0" borderId="0" xfId="5" applyFont="1"/>
    <xf numFmtId="4" fontId="10" fillId="0" borderId="0" xfId="8" applyNumberFormat="1"/>
    <xf numFmtId="3" fontId="2" fillId="0" borderId="0" xfId="5" applyNumberFormat="1"/>
    <xf numFmtId="4" fontId="10" fillId="0" borderId="0" xfId="5" applyNumberFormat="1" applyFont="1"/>
    <xf numFmtId="15" fontId="11" fillId="0" borderId="0" xfId="9" quotePrefix="1" applyNumberFormat="1" applyFont="1" applyAlignment="1" applyProtection="1">
      <alignment horizontal="center" vertical="center" wrapText="1"/>
      <protection locked="0"/>
    </xf>
    <xf numFmtId="165" fontId="12" fillId="0" borderId="0" xfId="10" applyNumberFormat="1" applyFont="1" applyFill="1"/>
    <xf numFmtId="15" fontId="13" fillId="0" borderId="0" xfId="9" quotePrefix="1" applyNumberFormat="1" applyFont="1" applyAlignment="1" applyProtection="1">
      <alignment horizontal="center" vertical="center" wrapText="1"/>
      <protection locked="0"/>
    </xf>
    <xf numFmtId="0" fontId="10" fillId="0" borderId="0" xfId="9"/>
    <xf numFmtId="15" fontId="3" fillId="0" borderId="1" xfId="9" quotePrefix="1" applyNumberFormat="1" applyFont="1" applyBorder="1" applyAlignment="1" applyProtection="1">
      <alignment horizontal="center" vertical="center" wrapText="1"/>
      <protection locked="0"/>
    </xf>
    <xf numFmtId="0" fontId="14" fillId="0" borderId="24" xfId="9" applyFont="1" applyBorder="1" applyAlignment="1">
      <alignment horizontal="center" vertical="center"/>
    </xf>
    <xf numFmtId="0" fontId="4" fillId="0" borderId="24" xfId="9" applyFont="1" applyBorder="1" applyAlignment="1">
      <alignment horizontal="center" vertical="center" wrapText="1"/>
    </xf>
    <xf numFmtId="0" fontId="4" fillId="0" borderId="24" xfId="9" applyFont="1" applyBorder="1" applyAlignment="1">
      <alignment horizontal="center" vertical="center"/>
    </xf>
    <xf numFmtId="165" fontId="10" fillId="0" borderId="0" xfId="10" applyNumberFormat="1" applyFont="1" applyFill="1"/>
    <xf numFmtId="166" fontId="10" fillId="0" borderId="0" xfId="9" applyNumberFormat="1"/>
    <xf numFmtId="0" fontId="15" fillId="0" borderId="0" xfId="9" applyFont="1" applyAlignment="1">
      <alignment horizontal="center" vertical="center"/>
    </xf>
    <xf numFmtId="0" fontId="16" fillId="0" borderId="0" xfId="9" applyFont="1" applyAlignment="1">
      <alignment horizontal="center" vertical="center"/>
    </xf>
    <xf numFmtId="17" fontId="7" fillId="0" borderId="25" xfId="9" applyNumberFormat="1" applyFont="1" applyBorder="1" applyAlignment="1">
      <alignment horizontal="left" vertical="center" wrapText="1"/>
    </xf>
    <xf numFmtId="3" fontId="8" fillId="2" borderId="25" xfId="9" applyNumberFormat="1" applyFont="1" applyFill="1" applyBorder="1" applyAlignment="1">
      <alignment vertical="center"/>
    </xf>
    <xf numFmtId="3" fontId="8" fillId="0" borderId="25" xfId="9" applyNumberFormat="1" applyFont="1" applyBorder="1" applyAlignment="1">
      <alignment vertical="center"/>
    </xf>
    <xf numFmtId="17" fontId="17" fillId="0" borderId="1" xfId="9" quotePrefix="1" applyNumberFormat="1" applyFont="1" applyBorder="1" applyAlignment="1">
      <alignment horizontal="left" vertical="center" wrapText="1"/>
    </xf>
    <xf numFmtId="44" fontId="9" fillId="2" borderId="1" xfId="2" applyFont="1" applyFill="1" applyBorder="1" applyAlignment="1">
      <alignment vertical="center"/>
    </xf>
    <xf numFmtId="44" fontId="9" fillId="0" borderId="1" xfId="2" applyFont="1" applyBorder="1" applyAlignment="1">
      <alignment vertical="center"/>
    </xf>
    <xf numFmtId="17" fontId="7" fillId="0" borderId="0" xfId="9" applyNumberFormat="1" applyFont="1" applyAlignment="1">
      <alignment horizontal="left" vertical="center" wrapText="1"/>
    </xf>
    <xf numFmtId="167" fontId="8" fillId="2" borderId="0" xfId="9" applyNumberFormat="1" applyFont="1" applyFill="1" applyAlignment="1">
      <alignment vertical="center"/>
    </xf>
    <xf numFmtId="167" fontId="8" fillId="0" borderId="0" xfId="9" applyNumberFormat="1" applyFont="1" applyAlignment="1">
      <alignment vertical="center"/>
    </xf>
    <xf numFmtId="167" fontId="8" fillId="0" borderId="26" xfId="9" applyNumberFormat="1" applyFont="1" applyBorder="1" applyAlignment="1">
      <alignment vertical="center"/>
    </xf>
    <xf numFmtId="4" fontId="17" fillId="0" borderId="25" xfId="9" applyNumberFormat="1" applyFont="1" applyBorder="1" applyAlignment="1">
      <alignment horizontal="left" vertical="center" wrapText="1"/>
    </xf>
    <xf numFmtId="3" fontId="9" fillId="2" borderId="25" xfId="9" applyNumberFormat="1" applyFont="1" applyFill="1" applyBorder="1" applyAlignment="1">
      <alignment vertical="center"/>
    </xf>
    <xf numFmtId="3" fontId="9" fillId="0" borderId="25" xfId="9" applyNumberFormat="1" applyFont="1" applyBorder="1" applyAlignment="1">
      <alignment vertical="center"/>
    </xf>
    <xf numFmtId="3" fontId="12" fillId="0" borderId="0" xfId="9" applyNumberFormat="1" applyFont="1" applyAlignment="1">
      <alignment horizontal="right" vertical="center"/>
    </xf>
    <xf numFmtId="166" fontId="7" fillId="0" borderId="1" xfId="9" applyNumberFormat="1" applyFont="1" applyBorder="1" applyAlignment="1">
      <alignment horizontal="left" vertical="center" wrapText="1"/>
    </xf>
    <xf numFmtId="166" fontId="8" fillId="2" borderId="1" xfId="9" applyNumberFormat="1" applyFont="1" applyFill="1" applyBorder="1" applyAlignment="1">
      <alignment vertical="center"/>
    </xf>
    <xf numFmtId="166" fontId="8" fillId="0" borderId="1" xfId="9" applyNumberFormat="1" applyFont="1" applyBorder="1" applyAlignment="1">
      <alignment vertical="center"/>
    </xf>
    <xf numFmtId="0" fontId="12" fillId="0" borderId="0" xfId="9" applyFont="1" applyAlignment="1">
      <alignment vertical="center"/>
    </xf>
    <xf numFmtId="165" fontId="12" fillId="0" borderId="0" xfId="10" applyNumberFormat="1" applyFont="1" applyFill="1" applyBorder="1" applyAlignment="1">
      <alignment vertical="center"/>
    </xf>
    <xf numFmtId="17" fontId="17" fillId="0" borderId="25" xfId="9" applyNumberFormat="1" applyFont="1" applyBorder="1" applyAlignment="1">
      <alignment horizontal="left" vertical="center" wrapText="1"/>
    </xf>
    <xf numFmtId="17" fontId="17" fillId="0" borderId="0" xfId="9" applyNumberFormat="1" applyFont="1" applyAlignment="1">
      <alignment horizontal="left" vertical="center" wrapText="1"/>
    </xf>
    <xf numFmtId="3" fontId="9" fillId="2" borderId="0" xfId="9" applyNumberFormat="1" applyFont="1" applyFill="1" applyAlignment="1">
      <alignment vertical="center"/>
    </xf>
    <xf numFmtId="3" fontId="9" fillId="0" borderId="0" xfId="9" applyNumberFormat="1" applyFont="1" applyAlignment="1">
      <alignment vertical="center"/>
    </xf>
    <xf numFmtId="17" fontId="17" fillId="0" borderId="1" xfId="9" applyNumberFormat="1" applyFont="1" applyBorder="1" applyAlignment="1">
      <alignment horizontal="left" vertical="center" wrapText="1"/>
    </xf>
    <xf numFmtId="3" fontId="9" fillId="2" borderId="1" xfId="9" applyNumberFormat="1" applyFont="1" applyFill="1" applyBorder="1" applyAlignment="1">
      <alignment vertical="center"/>
    </xf>
    <xf numFmtId="3" fontId="9" fillId="0" borderId="1" xfId="9" applyNumberFormat="1" applyFont="1" applyBorder="1" applyAlignment="1">
      <alignment vertical="center"/>
    </xf>
    <xf numFmtId="165" fontId="17" fillId="0" borderId="1" xfId="10" applyNumberFormat="1" applyFont="1" applyFill="1" applyBorder="1" applyAlignment="1">
      <alignment horizontal="left" vertical="center" wrapText="1"/>
    </xf>
    <xf numFmtId="165" fontId="9" fillId="2" borderId="1" xfId="10" applyNumberFormat="1" applyFont="1" applyFill="1" applyBorder="1" applyAlignment="1">
      <alignment vertical="center"/>
    </xf>
    <xf numFmtId="165" fontId="9" fillId="0" borderId="1" xfId="10" applyNumberFormat="1" applyFont="1" applyFill="1" applyBorder="1" applyAlignment="1">
      <alignment vertical="center"/>
    </xf>
    <xf numFmtId="165" fontId="19" fillId="0" borderId="0" xfId="10" applyNumberFormat="1" applyFont="1" applyFill="1" applyBorder="1" applyAlignment="1">
      <alignment vertical="center"/>
    </xf>
    <xf numFmtId="0" fontId="16" fillId="0" borderId="0" xfId="11" applyFont="1" applyAlignment="1">
      <alignment horizontal="center" vertical="center"/>
    </xf>
    <xf numFmtId="0" fontId="12" fillId="0" borderId="0" xfId="9" applyFont="1"/>
    <xf numFmtId="15" fontId="3" fillId="0" borderId="0" xfId="9" quotePrefix="1" applyNumberFormat="1" applyFont="1" applyAlignment="1" applyProtection="1">
      <alignment horizontal="center" vertical="center" wrapText="1"/>
      <protection locked="0"/>
    </xf>
    <xf numFmtId="0" fontId="16" fillId="0" borderId="0" xfId="9" applyFont="1" applyAlignment="1">
      <alignment horizontal="right" vertical="center"/>
    </xf>
    <xf numFmtId="0" fontId="7" fillId="0" borderId="25" xfId="11" applyFont="1" applyBorder="1" applyAlignment="1">
      <alignment horizontal="left" vertical="center" wrapText="1"/>
    </xf>
    <xf numFmtId="0" fontId="12" fillId="0" borderId="0" xfId="9" applyFont="1" applyAlignment="1">
      <alignment horizontal="right"/>
    </xf>
    <xf numFmtId="0" fontId="17" fillId="0" borderId="0" xfId="11" applyFont="1" applyAlignment="1">
      <alignment horizontal="left" vertical="center" wrapText="1"/>
    </xf>
    <xf numFmtId="44" fontId="9" fillId="2" borderId="0" xfId="2" applyFont="1" applyFill="1" applyBorder="1" applyAlignment="1">
      <alignment vertical="center"/>
    </xf>
    <xf numFmtId="44" fontId="9" fillId="0" borderId="0" xfId="2" applyFont="1" applyBorder="1" applyAlignment="1">
      <alignment vertical="center"/>
    </xf>
    <xf numFmtId="4" fontId="12" fillId="0" borderId="0" xfId="9" applyNumberFormat="1" applyFont="1" applyAlignment="1">
      <alignment horizontal="right"/>
    </xf>
    <xf numFmtId="167" fontId="9" fillId="2" borderId="0" xfId="9" applyNumberFormat="1" applyFont="1" applyFill="1" applyAlignment="1">
      <alignment vertical="center"/>
    </xf>
    <xf numFmtId="167" fontId="9" fillId="0" borderId="0" xfId="9" applyNumberFormat="1" applyFont="1" applyAlignment="1">
      <alignment vertical="center"/>
    </xf>
    <xf numFmtId="0" fontId="17" fillId="0" borderId="1" xfId="11" applyFont="1" applyBorder="1" applyAlignment="1">
      <alignment horizontal="left" vertical="center" wrapText="1"/>
    </xf>
    <xf numFmtId="165" fontId="9" fillId="0" borderId="1" xfId="10" applyNumberFormat="1" applyFont="1" applyBorder="1" applyAlignment="1">
      <alignment vertical="center"/>
    </xf>
    <xf numFmtId="0" fontId="20" fillId="0" borderId="0" xfId="11" applyFont="1" applyAlignment="1">
      <alignment horizontal="center" vertical="center"/>
    </xf>
    <xf numFmtId="165" fontId="12" fillId="0" borderId="0" xfId="10" applyNumberFormat="1" applyFont="1" applyFill="1" applyAlignment="1">
      <alignment vertical="center"/>
    </xf>
    <xf numFmtId="0" fontId="10" fillId="0" borderId="0" xfId="9" applyAlignment="1">
      <alignment vertical="center"/>
    </xf>
    <xf numFmtId="166" fontId="10" fillId="0" borderId="0" xfId="9" applyNumberFormat="1" applyAlignment="1">
      <alignment vertical="center"/>
    </xf>
    <xf numFmtId="3" fontId="12" fillId="0" borderId="0" xfId="9" applyNumberFormat="1" applyFont="1" applyAlignment="1">
      <alignment horizontal="right"/>
    </xf>
    <xf numFmtId="165" fontId="10" fillId="0" borderId="0" xfId="10" applyNumberFormat="1" applyFont="1" applyFill="1" applyAlignment="1"/>
    <xf numFmtId="10" fontId="10" fillId="0" borderId="0" xfId="10" applyNumberFormat="1" applyFont="1" applyFill="1"/>
    <xf numFmtId="3" fontId="4" fillId="0" borderId="8" xfId="5" applyNumberFormat="1" applyFont="1" applyBorder="1" applyAlignment="1">
      <alignment horizontal="center" vertical="center"/>
    </xf>
    <xf numFmtId="3" fontId="4" fillId="0" borderId="10" xfId="5" applyNumberFormat="1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13" xfId="5" applyFont="1" applyBorder="1" applyAlignment="1">
      <alignment horizontal="center" vertical="center"/>
    </xf>
    <xf numFmtId="0" fontId="4" fillId="0" borderId="6" xfId="5" applyFont="1" applyBorder="1" applyAlignment="1">
      <alignment horizontal="center" vertical="center"/>
    </xf>
    <xf numFmtId="0" fontId="3" fillId="2" borderId="0" xfId="4" applyFont="1" applyFill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4" fillId="0" borderId="7" xfId="5" applyFont="1" applyBorder="1" applyAlignment="1">
      <alignment horizontal="center" vertical="center" wrapText="1"/>
    </xf>
    <xf numFmtId="0" fontId="4" fillId="0" borderId="13" xfId="5" applyFont="1" applyBorder="1" applyAlignment="1">
      <alignment horizontal="center" vertical="center" wrapText="1"/>
    </xf>
    <xf numFmtId="3" fontId="4" fillId="3" borderId="3" xfId="5" applyNumberFormat="1" applyFont="1" applyFill="1" applyBorder="1" applyAlignment="1">
      <alignment horizontal="center" vertical="center"/>
    </xf>
    <xf numFmtId="3" fontId="4" fillId="3" borderId="4" xfId="5" applyNumberFormat="1" applyFont="1" applyFill="1" applyBorder="1" applyAlignment="1">
      <alignment horizontal="center" vertical="center"/>
    </xf>
    <xf numFmtId="3" fontId="4" fillId="3" borderId="5" xfId="5" applyNumberFormat="1" applyFont="1" applyFill="1" applyBorder="1" applyAlignment="1">
      <alignment horizontal="center" vertical="center"/>
    </xf>
    <xf numFmtId="3" fontId="4" fillId="4" borderId="3" xfId="5" applyNumberFormat="1" applyFont="1" applyFill="1" applyBorder="1" applyAlignment="1">
      <alignment horizontal="center" vertical="center"/>
    </xf>
    <xf numFmtId="3" fontId="4" fillId="4" borderId="4" xfId="5" applyNumberFormat="1" applyFont="1" applyFill="1" applyBorder="1" applyAlignment="1">
      <alignment horizontal="center" vertical="center"/>
    </xf>
    <xf numFmtId="3" fontId="4" fillId="4" borderId="5" xfId="5" applyNumberFormat="1" applyFont="1" applyFill="1" applyBorder="1" applyAlignment="1">
      <alignment horizontal="center" vertical="center"/>
    </xf>
    <xf numFmtId="3" fontId="4" fillId="5" borderId="6" xfId="5" applyNumberFormat="1" applyFont="1" applyFill="1" applyBorder="1" applyAlignment="1">
      <alignment horizontal="center" vertical="center"/>
    </xf>
    <xf numFmtId="3" fontId="4" fillId="0" borderId="9" xfId="5" applyNumberFormat="1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4" fillId="0" borderId="17" xfId="5" applyFont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3" fontId="4" fillId="0" borderId="14" xfId="5" applyNumberFormat="1" applyFont="1" applyBorder="1" applyAlignment="1">
      <alignment horizontal="center" vertical="center"/>
    </xf>
    <xf numFmtId="3" fontId="4" fillId="0" borderId="15" xfId="5" applyNumberFormat="1" applyFont="1" applyBorder="1" applyAlignment="1">
      <alignment horizontal="center" vertical="center"/>
    </xf>
    <xf numFmtId="3" fontId="4" fillId="0" borderId="16" xfId="5" applyNumberFormat="1" applyFont="1" applyBorder="1" applyAlignment="1">
      <alignment horizontal="center" vertical="center"/>
    </xf>
    <xf numFmtId="0" fontId="9" fillId="0" borderId="4" xfId="5" quotePrefix="1" applyFont="1" applyBorder="1" applyAlignment="1">
      <alignment horizontal="left" vertical="center"/>
    </xf>
    <xf numFmtId="0" fontId="9" fillId="0" borderId="0" xfId="5" quotePrefix="1" applyFont="1" applyAlignment="1">
      <alignment horizontal="left" vertical="center"/>
    </xf>
    <xf numFmtId="0" fontId="4" fillId="0" borderId="21" xfId="5" applyFont="1" applyBorder="1" applyAlignment="1">
      <alignment horizontal="center" vertical="center"/>
    </xf>
    <xf numFmtId="3" fontId="4" fillId="0" borderId="6" xfId="5" applyNumberFormat="1" applyFont="1" applyBorder="1" applyAlignment="1">
      <alignment horizontal="center" vertical="center"/>
    </xf>
    <xf numFmtId="43" fontId="4" fillId="6" borderId="3" xfId="7" applyFont="1" applyFill="1" applyBorder="1" applyAlignment="1">
      <alignment horizontal="center" vertical="center"/>
    </xf>
    <xf numFmtId="43" fontId="4" fillId="6" borderId="4" xfId="7" applyFont="1" applyFill="1" applyBorder="1" applyAlignment="1">
      <alignment horizontal="center" vertical="center"/>
    </xf>
    <xf numFmtId="43" fontId="4" fillId="6" borderId="5" xfId="7" applyFont="1" applyFill="1" applyBorder="1" applyAlignment="1">
      <alignment horizontal="center" vertical="center"/>
    </xf>
    <xf numFmtId="43" fontId="4" fillId="7" borderId="3" xfId="7" applyFont="1" applyFill="1" applyBorder="1" applyAlignment="1">
      <alignment horizontal="center" vertical="center"/>
    </xf>
    <xf numFmtId="43" fontId="4" fillId="7" borderId="4" xfId="7" applyFont="1" applyFill="1" applyBorder="1" applyAlignment="1">
      <alignment horizontal="center" vertical="center"/>
    </xf>
    <xf numFmtId="43" fontId="4" fillId="5" borderId="6" xfId="7" applyFont="1" applyFill="1" applyBorder="1" applyAlignment="1">
      <alignment horizontal="center" vertical="center"/>
    </xf>
    <xf numFmtId="17" fontId="18" fillId="2" borderId="26" xfId="9" applyNumberFormat="1" applyFont="1" applyFill="1" applyBorder="1" applyAlignment="1">
      <alignment horizontal="left" vertical="center" wrapText="1"/>
    </xf>
    <xf numFmtId="17" fontId="9" fillId="0" borderId="25" xfId="9" quotePrefix="1" applyNumberFormat="1" applyFont="1" applyBorder="1" applyAlignment="1">
      <alignment horizontal="left" vertical="center" wrapText="1"/>
    </xf>
    <xf numFmtId="17" fontId="9" fillId="0" borderId="0" xfId="9" quotePrefix="1" applyNumberFormat="1" applyFont="1" applyAlignment="1">
      <alignment horizontal="left" vertical="center" wrapText="1"/>
    </xf>
    <xf numFmtId="15" fontId="3" fillId="2" borderId="0" xfId="9" quotePrefix="1" applyNumberFormat="1" applyFont="1" applyFill="1" applyAlignment="1" applyProtection="1">
      <alignment horizontal="center" vertical="center" wrapText="1"/>
      <protection locked="0"/>
    </xf>
  </cellXfs>
  <cellStyles count="12">
    <cellStyle name="Millares" xfId="1" builtinId="3"/>
    <cellStyle name="Millares 3" xfId="7" xr:uid="{21DBAF97-A8D4-446E-8C5A-8877461BD751}"/>
    <cellStyle name="Moneda" xfId="2" builtinId="4"/>
    <cellStyle name="Normal" xfId="0" builtinId="0"/>
    <cellStyle name="Normal 16" xfId="4" xr:uid="{BDF1B648-83C0-4736-8209-CED030BEB138}"/>
    <cellStyle name="Normal 2 3" xfId="6" xr:uid="{D5FA57DF-D4D3-474D-AAB2-1D77B99B6271}"/>
    <cellStyle name="Normal 3 2" xfId="11" xr:uid="{C599DDF5-18F8-4F2C-9D01-99DD081FFC68}"/>
    <cellStyle name="Normal 4 2" xfId="5" xr:uid="{CA8E3357-B3ED-49DB-989F-4887FE45DFD9}"/>
    <cellStyle name="Normal_AVANCE PROVINCIAL" xfId="9" xr:uid="{1BD4A8DE-1E9C-457D-9811-8A84D1864790}"/>
    <cellStyle name="Normal_I.6.1. marzo 2008" xfId="8" xr:uid="{D6C9AD46-5933-4396-A016-E50919320849}"/>
    <cellStyle name="Porcentaje" xfId="3" builtinId="5"/>
    <cellStyle name="Porcentaje 2" xfId="10" xr:uid="{984CAB81-EB06-4EDD-8E34-2679D9C77B2D}"/>
  </cellStyles>
  <dxfs count="0"/>
  <tableStyles count="1" defaultTableStyle="TableStyleMedium2" defaultPivotStyle="PivotStyleLight16">
    <tableStyle name="Invisible" pivot="0" table="0" count="0" xr9:uid="{ABEAEDFC-24E0-4F51-BB12-627CB3792B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BC4E-F597-4DE0-8813-A1DA9EDCF99F}">
  <sheetPr>
    <pageSetUpPr fitToPage="1"/>
  </sheetPr>
  <dimension ref="A1:AH62"/>
  <sheetViews>
    <sheetView showZeros="0" tabSelected="1" topLeftCell="A32" zoomScaleNormal="100" zoomScaleSheetLayoutView="91" workbookViewId="0">
      <selection activeCell="H38" sqref="H38:I42"/>
    </sheetView>
  </sheetViews>
  <sheetFormatPr baseColWidth="10" defaultColWidth="11.85546875" defaultRowHeight="15" x14ac:dyDescent="0.2"/>
  <cols>
    <col min="1" max="1" width="10.7109375" style="53" customWidth="1"/>
    <col min="2" max="2" width="12.7109375" style="54" customWidth="1"/>
    <col min="3" max="3" width="10.5703125" style="55" customWidth="1"/>
    <col min="4" max="4" width="14" style="54" customWidth="1"/>
    <col min="5" max="5" width="10.5703125" style="56" customWidth="1"/>
    <col min="6" max="6" width="14" style="55" customWidth="1"/>
    <col min="7" max="9" width="10.5703125" style="55" customWidth="1"/>
    <col min="10" max="10" width="14" style="55" customWidth="1"/>
    <col min="11" max="11" width="10.5703125" style="55" customWidth="1"/>
    <col min="12" max="12" width="14" style="54" customWidth="1"/>
    <col min="13" max="13" width="10.5703125" style="56" customWidth="1"/>
    <col min="14" max="14" width="14" style="54" customWidth="1"/>
    <col min="15" max="17" width="10.5703125" style="56" customWidth="1"/>
    <col min="18" max="18" width="14" style="1" customWidth="1"/>
    <col min="19" max="19" width="10.5703125" style="1" customWidth="1"/>
    <col min="20" max="20" width="14" style="1" customWidth="1"/>
    <col min="21" max="21" width="10.5703125" style="1" customWidth="1"/>
    <col min="22" max="22" width="14" style="1" customWidth="1"/>
    <col min="23" max="23" width="10.5703125" style="1" customWidth="1"/>
    <col min="24" max="16384" width="11.85546875" style="1"/>
  </cols>
  <sheetData>
    <row r="1" spans="1:25" ht="75.75" customHeight="1" x14ac:dyDescent="0.2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 spans="1:25" ht="27" customHeight="1" x14ac:dyDescent="0.2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8"/>
      <c r="S2" s="128"/>
      <c r="T2" s="128"/>
      <c r="U2" s="128"/>
      <c r="V2" s="128"/>
      <c r="W2" s="128"/>
    </row>
    <row r="3" spans="1:25" ht="24" customHeight="1" x14ac:dyDescent="0.2">
      <c r="A3" s="130" t="s">
        <v>2</v>
      </c>
      <c r="B3" s="133" t="s">
        <v>3</v>
      </c>
      <c r="C3" s="134"/>
      <c r="D3" s="134"/>
      <c r="E3" s="134"/>
      <c r="F3" s="134"/>
      <c r="G3" s="134"/>
      <c r="H3" s="134"/>
      <c r="I3" s="135"/>
      <c r="J3" s="136" t="s">
        <v>4</v>
      </c>
      <c r="K3" s="137"/>
      <c r="L3" s="137"/>
      <c r="M3" s="137"/>
      <c r="N3" s="137"/>
      <c r="O3" s="137"/>
      <c r="P3" s="137"/>
      <c r="Q3" s="138"/>
      <c r="R3" s="139" t="s">
        <v>5</v>
      </c>
      <c r="S3" s="139"/>
      <c r="T3" s="139"/>
      <c r="U3" s="139"/>
      <c r="V3" s="139"/>
      <c r="W3" s="139"/>
      <c r="X3" s="139"/>
      <c r="Y3" s="139"/>
    </row>
    <row r="4" spans="1:25" ht="19.5" customHeight="1" x14ac:dyDescent="0.2">
      <c r="A4" s="131"/>
      <c r="B4" s="122" t="s">
        <v>6</v>
      </c>
      <c r="C4" s="140"/>
      <c r="D4" s="122" t="s">
        <v>7</v>
      </c>
      <c r="E4" s="123"/>
      <c r="F4" s="124" t="s">
        <v>8</v>
      </c>
      <c r="G4" s="141"/>
      <c r="H4" s="127" t="s">
        <v>9</v>
      </c>
      <c r="I4" s="127"/>
      <c r="J4" s="122" t="s">
        <v>6</v>
      </c>
      <c r="K4" s="140"/>
      <c r="L4" s="122" t="s">
        <v>7</v>
      </c>
      <c r="M4" s="123"/>
      <c r="N4" s="124" t="s">
        <v>8</v>
      </c>
      <c r="O4" s="125"/>
      <c r="P4" s="126" t="s">
        <v>9</v>
      </c>
      <c r="Q4" s="126"/>
      <c r="R4" s="144" t="s">
        <v>6</v>
      </c>
      <c r="S4" s="145"/>
      <c r="T4" s="144" t="s">
        <v>7</v>
      </c>
      <c r="U4" s="146"/>
      <c r="V4" s="142" t="s">
        <v>8</v>
      </c>
      <c r="W4" s="143"/>
      <c r="X4" s="126" t="s">
        <v>9</v>
      </c>
      <c r="Y4" s="126"/>
    </row>
    <row r="5" spans="1:25" ht="25.5" customHeight="1" x14ac:dyDescent="0.2">
      <c r="A5" s="132"/>
      <c r="B5" s="2" t="s">
        <v>10</v>
      </c>
      <c r="C5" s="3" t="s">
        <v>11</v>
      </c>
      <c r="D5" s="2" t="s">
        <v>10</v>
      </c>
      <c r="E5" s="3" t="s">
        <v>11</v>
      </c>
      <c r="F5" s="2" t="s">
        <v>10</v>
      </c>
      <c r="G5" s="3" t="s">
        <v>11</v>
      </c>
      <c r="H5" s="4" t="s">
        <v>12</v>
      </c>
      <c r="I5" s="5" t="s">
        <v>13</v>
      </c>
      <c r="J5" s="2" t="s">
        <v>10</v>
      </c>
      <c r="K5" s="3" t="s">
        <v>11</v>
      </c>
      <c r="L5" s="2" t="s">
        <v>10</v>
      </c>
      <c r="M5" s="3" t="s">
        <v>11</v>
      </c>
      <c r="N5" s="2" t="s">
        <v>10</v>
      </c>
      <c r="O5" s="3" t="s">
        <v>11</v>
      </c>
      <c r="P5" s="4" t="s">
        <v>12</v>
      </c>
      <c r="Q5" s="5" t="s">
        <v>13</v>
      </c>
      <c r="R5" s="2" t="s">
        <v>10</v>
      </c>
      <c r="S5" s="3" t="s">
        <v>11</v>
      </c>
      <c r="T5" s="2" t="s">
        <v>10</v>
      </c>
      <c r="U5" s="3" t="s">
        <v>11</v>
      </c>
      <c r="V5" s="6" t="s">
        <v>10</v>
      </c>
      <c r="W5" s="4" t="s">
        <v>11</v>
      </c>
      <c r="X5" s="4" t="s">
        <v>12</v>
      </c>
      <c r="Y5" s="5" t="s">
        <v>13</v>
      </c>
    </row>
    <row r="6" spans="1:25" ht="24" customHeight="1" thickBot="1" x14ac:dyDescent="0.25">
      <c r="A6" s="7" t="s">
        <v>14</v>
      </c>
      <c r="B6" s="8">
        <v>10476332</v>
      </c>
      <c r="C6" s="9">
        <v>1368.44032782659</v>
      </c>
      <c r="D6" s="8">
        <v>4946258</v>
      </c>
      <c r="E6" s="9">
        <v>1632.0961318212555</v>
      </c>
      <c r="F6" s="8">
        <v>5530030</v>
      </c>
      <c r="G6" s="9">
        <v>1132.6215905483264</v>
      </c>
      <c r="H6" s="10">
        <f>(E6-G6)/E6</f>
        <v>0.30603255012654534</v>
      </c>
      <c r="I6" s="10">
        <f>F6/B6</f>
        <v>0.52785936909979558</v>
      </c>
      <c r="J6" s="8">
        <v>1061553</v>
      </c>
      <c r="K6" s="9">
        <v>1254.4093315642269</v>
      </c>
      <c r="L6" s="8">
        <v>650730</v>
      </c>
      <c r="M6" s="9">
        <v>1318.3993479630578</v>
      </c>
      <c r="N6" s="8">
        <v>410823</v>
      </c>
      <c r="O6" s="9">
        <v>1153.0512689162977</v>
      </c>
      <c r="P6" s="10">
        <f>(M6-O6)/M6</f>
        <v>0.12541577732287632</v>
      </c>
      <c r="Q6" s="10">
        <f>N6/J6</f>
        <v>0.38700187366999106</v>
      </c>
      <c r="R6" s="11">
        <v>6688655</v>
      </c>
      <c r="S6" s="12">
        <v>1569.7045324598184</v>
      </c>
      <c r="T6" s="11">
        <v>3885528</v>
      </c>
      <c r="U6" s="12">
        <v>1791.0283547075039</v>
      </c>
      <c r="V6" s="11">
        <v>2803108</v>
      </c>
      <c r="W6" s="12">
        <v>1262.9194898769299</v>
      </c>
      <c r="X6" s="10">
        <f>(U6-W6)/U6</f>
        <v>0.2948634863554801</v>
      </c>
      <c r="Y6" s="10">
        <f>V6/R6</f>
        <v>0.41908395634099832</v>
      </c>
    </row>
    <row r="7" spans="1:25" ht="13.5" customHeight="1" thickTop="1" x14ac:dyDescent="0.2">
      <c r="A7" s="13" t="s">
        <v>15</v>
      </c>
      <c r="B7" s="14">
        <v>2130</v>
      </c>
      <c r="C7" s="15">
        <v>380.37696244131439</v>
      </c>
      <c r="D7" s="16">
        <v>1103</v>
      </c>
      <c r="E7" s="17">
        <v>382.24152311876679</v>
      </c>
      <c r="F7" s="16">
        <v>1027</v>
      </c>
      <c r="G7" s="17">
        <v>378.37442064264837</v>
      </c>
      <c r="H7" s="17"/>
      <c r="I7" s="17"/>
      <c r="J7" s="14" t="s">
        <v>16</v>
      </c>
      <c r="K7" s="15" t="s">
        <v>16</v>
      </c>
      <c r="L7" s="16" t="s">
        <v>16</v>
      </c>
      <c r="M7" s="17" t="s">
        <v>16</v>
      </c>
      <c r="N7" s="16" t="s">
        <v>16</v>
      </c>
      <c r="O7" s="17" t="s">
        <v>16</v>
      </c>
      <c r="P7" s="17"/>
      <c r="Q7" s="17"/>
      <c r="R7" s="18" t="s">
        <v>16</v>
      </c>
      <c r="S7" s="19" t="s">
        <v>16</v>
      </c>
      <c r="T7" s="20" t="s">
        <v>16</v>
      </c>
      <c r="U7" s="21" t="s">
        <v>16</v>
      </c>
      <c r="V7" s="20" t="s">
        <v>16</v>
      </c>
      <c r="W7" s="21" t="s">
        <v>16</v>
      </c>
      <c r="X7" s="22"/>
      <c r="Y7" s="22"/>
    </row>
    <row r="8" spans="1:25" ht="13.5" customHeight="1" x14ac:dyDescent="0.2">
      <c r="A8" s="23" t="s">
        <v>17</v>
      </c>
      <c r="B8" s="14">
        <v>10174</v>
      </c>
      <c r="C8" s="15">
        <v>383.62579811283638</v>
      </c>
      <c r="D8" s="16">
        <v>5203</v>
      </c>
      <c r="E8" s="17">
        <v>385.1767057466846</v>
      </c>
      <c r="F8" s="16">
        <v>4971</v>
      </c>
      <c r="G8" s="17">
        <v>382.00250854958711</v>
      </c>
      <c r="H8" s="17"/>
      <c r="I8" s="17"/>
      <c r="J8" s="14" t="s">
        <v>16</v>
      </c>
      <c r="K8" s="15" t="s">
        <v>16</v>
      </c>
      <c r="L8" s="16" t="s">
        <v>16</v>
      </c>
      <c r="M8" s="17" t="s">
        <v>16</v>
      </c>
      <c r="N8" s="16" t="s">
        <v>16</v>
      </c>
      <c r="O8" s="17" t="s">
        <v>16</v>
      </c>
      <c r="P8" s="17"/>
      <c r="Q8" s="17"/>
      <c r="R8" s="18" t="s">
        <v>16</v>
      </c>
      <c r="S8" s="19" t="s">
        <v>16</v>
      </c>
      <c r="T8" s="20" t="s">
        <v>16</v>
      </c>
      <c r="U8" s="21" t="s">
        <v>16</v>
      </c>
      <c r="V8" s="20" t="s">
        <v>16</v>
      </c>
      <c r="W8" s="21" t="s">
        <v>16</v>
      </c>
      <c r="X8" s="22"/>
      <c r="Y8" s="22"/>
    </row>
    <row r="9" spans="1:25" ht="13.5" customHeight="1" x14ac:dyDescent="0.2">
      <c r="A9" s="23" t="s">
        <v>18</v>
      </c>
      <c r="B9" s="14">
        <v>26423</v>
      </c>
      <c r="C9" s="15">
        <v>387.67005298414227</v>
      </c>
      <c r="D9" s="16">
        <v>13456</v>
      </c>
      <c r="E9" s="17">
        <v>386.6750185790724</v>
      </c>
      <c r="F9" s="16">
        <v>12967</v>
      </c>
      <c r="G9" s="17">
        <v>388.70261124392636</v>
      </c>
      <c r="H9" s="17"/>
      <c r="I9" s="17"/>
      <c r="J9" s="14" t="s">
        <v>16</v>
      </c>
      <c r="K9" s="15" t="s">
        <v>16</v>
      </c>
      <c r="L9" s="16" t="s">
        <v>16</v>
      </c>
      <c r="M9" s="17" t="s">
        <v>16</v>
      </c>
      <c r="N9" s="16" t="s">
        <v>16</v>
      </c>
      <c r="O9" s="17" t="s">
        <v>16</v>
      </c>
      <c r="P9" s="17"/>
      <c r="Q9" s="17"/>
      <c r="R9" s="18" t="s">
        <v>16</v>
      </c>
      <c r="S9" s="19" t="s">
        <v>16</v>
      </c>
      <c r="T9" s="20" t="s">
        <v>16</v>
      </c>
      <c r="U9" s="21" t="s">
        <v>16</v>
      </c>
      <c r="V9" s="20" t="s">
        <v>16</v>
      </c>
      <c r="W9" s="21" t="s">
        <v>16</v>
      </c>
      <c r="X9" s="22"/>
      <c r="Y9" s="22"/>
    </row>
    <row r="10" spans="1:25" ht="13.5" customHeight="1" x14ac:dyDescent="0.2">
      <c r="A10" s="23" t="s">
        <v>19</v>
      </c>
      <c r="B10" s="14">
        <v>58217</v>
      </c>
      <c r="C10" s="15">
        <v>391.37128055378969</v>
      </c>
      <c r="D10" s="16">
        <v>29815</v>
      </c>
      <c r="E10" s="17">
        <v>392.8675733691091</v>
      </c>
      <c r="F10" s="16">
        <v>28391</v>
      </c>
      <c r="G10" s="17">
        <v>389.827672854073</v>
      </c>
      <c r="H10" s="17"/>
      <c r="I10" s="17"/>
      <c r="J10" s="14">
        <v>3</v>
      </c>
      <c r="K10" s="15">
        <v>1106.8966666666668</v>
      </c>
      <c r="L10" s="16">
        <v>1</v>
      </c>
      <c r="M10" s="17">
        <v>844.73</v>
      </c>
      <c r="N10" s="16">
        <v>2</v>
      </c>
      <c r="O10" s="17">
        <v>1237.98</v>
      </c>
      <c r="P10" s="17"/>
      <c r="Q10" s="17"/>
      <c r="R10" s="18" t="s">
        <v>16</v>
      </c>
      <c r="S10" s="19" t="s">
        <v>16</v>
      </c>
      <c r="T10" s="20" t="s">
        <v>16</v>
      </c>
      <c r="U10" s="21" t="s">
        <v>16</v>
      </c>
      <c r="V10" s="20" t="s">
        <v>16</v>
      </c>
      <c r="W10" s="21" t="s">
        <v>16</v>
      </c>
      <c r="X10" s="22"/>
      <c r="Y10" s="22"/>
    </row>
    <row r="11" spans="1:25" ht="13.5" customHeight="1" x14ac:dyDescent="0.2">
      <c r="A11" s="23" t="s">
        <v>20</v>
      </c>
      <c r="B11" s="14">
        <v>90257</v>
      </c>
      <c r="C11" s="15">
        <v>403.5484896462325</v>
      </c>
      <c r="D11" s="16">
        <v>44755</v>
      </c>
      <c r="E11" s="17">
        <v>405.13199128588951</v>
      </c>
      <c r="F11" s="16">
        <v>45497</v>
      </c>
      <c r="G11" s="17">
        <v>401.99115502121072</v>
      </c>
      <c r="H11" s="17"/>
      <c r="I11" s="17"/>
      <c r="J11" s="14">
        <v>512</v>
      </c>
      <c r="K11" s="15">
        <v>921.96433593749998</v>
      </c>
      <c r="L11" s="16">
        <v>377</v>
      </c>
      <c r="M11" s="17">
        <v>934.12867374005305</v>
      </c>
      <c r="N11" s="16">
        <v>135</v>
      </c>
      <c r="O11" s="17">
        <v>887.99429629629628</v>
      </c>
      <c r="P11" s="17"/>
      <c r="Q11" s="17"/>
      <c r="R11" s="18" t="s">
        <v>16</v>
      </c>
      <c r="S11" s="19" t="s">
        <v>16</v>
      </c>
      <c r="T11" s="20" t="s">
        <v>16</v>
      </c>
      <c r="U11" s="21" t="s">
        <v>16</v>
      </c>
      <c r="V11" s="20" t="s">
        <v>16</v>
      </c>
      <c r="W11" s="21" t="s">
        <v>16</v>
      </c>
      <c r="X11" s="22"/>
      <c r="Y11" s="22"/>
    </row>
    <row r="12" spans="1:25" ht="13.5" customHeight="1" x14ac:dyDescent="0.2">
      <c r="A12" s="23" t="s">
        <v>21</v>
      </c>
      <c r="B12" s="14">
        <v>7876</v>
      </c>
      <c r="C12" s="15">
        <v>659.05812468258011</v>
      </c>
      <c r="D12" s="16">
        <v>4354</v>
      </c>
      <c r="E12" s="17">
        <v>691.18497473587502</v>
      </c>
      <c r="F12" s="16">
        <v>3522</v>
      </c>
      <c r="G12" s="17">
        <v>619.34196763202738</v>
      </c>
      <c r="H12" s="17"/>
      <c r="I12" s="17"/>
      <c r="J12" s="14">
        <v>2813</v>
      </c>
      <c r="K12" s="15">
        <v>996.68548880199057</v>
      </c>
      <c r="L12" s="16">
        <v>1815</v>
      </c>
      <c r="M12" s="17">
        <v>1024.6850578512392</v>
      </c>
      <c r="N12" s="16">
        <v>998</v>
      </c>
      <c r="O12" s="17">
        <v>945.76442885771564</v>
      </c>
      <c r="P12" s="17"/>
      <c r="Q12" s="17"/>
      <c r="R12" s="18" t="s">
        <v>16</v>
      </c>
      <c r="S12" s="19" t="s">
        <v>16</v>
      </c>
      <c r="T12" s="20" t="s">
        <v>16</v>
      </c>
      <c r="U12" s="21" t="s">
        <v>16</v>
      </c>
      <c r="V12" s="20" t="s">
        <v>16</v>
      </c>
      <c r="W12" s="21" t="s">
        <v>16</v>
      </c>
      <c r="X12" s="22"/>
      <c r="Y12" s="22"/>
    </row>
    <row r="13" spans="1:25" ht="13.5" customHeight="1" x14ac:dyDescent="0.2">
      <c r="A13" s="13" t="s">
        <v>22</v>
      </c>
      <c r="B13" s="14">
        <v>12621</v>
      </c>
      <c r="C13" s="15">
        <v>861.6619126852064</v>
      </c>
      <c r="D13" s="16">
        <v>7494</v>
      </c>
      <c r="E13" s="17">
        <v>878.02258073125051</v>
      </c>
      <c r="F13" s="16">
        <v>5127</v>
      </c>
      <c r="G13" s="17">
        <v>837.7479578700993</v>
      </c>
      <c r="H13" s="17"/>
      <c r="I13" s="17"/>
      <c r="J13" s="14">
        <v>8442</v>
      </c>
      <c r="K13" s="15">
        <v>1011.2380466714031</v>
      </c>
      <c r="L13" s="16">
        <v>5335</v>
      </c>
      <c r="M13" s="17">
        <v>1037.2671471415158</v>
      </c>
      <c r="N13" s="16">
        <v>3107</v>
      </c>
      <c r="O13" s="17">
        <v>966.54372706791071</v>
      </c>
      <c r="P13" s="17"/>
      <c r="Q13" s="17"/>
      <c r="R13" s="18" t="s">
        <v>16</v>
      </c>
      <c r="S13" s="19" t="s">
        <v>16</v>
      </c>
      <c r="T13" s="20" t="s">
        <v>16</v>
      </c>
      <c r="U13" s="21" t="s">
        <v>16</v>
      </c>
      <c r="V13" s="20" t="s">
        <v>16</v>
      </c>
      <c r="W13" s="21" t="s">
        <v>16</v>
      </c>
      <c r="X13" s="22"/>
      <c r="Y13" s="22"/>
    </row>
    <row r="14" spans="1:25" ht="13.5" customHeight="1" x14ac:dyDescent="0.2">
      <c r="A14" s="13" t="s">
        <v>23</v>
      </c>
      <c r="B14" s="14">
        <v>32459</v>
      </c>
      <c r="C14" s="15">
        <v>955.76249422347883</v>
      </c>
      <c r="D14" s="16">
        <v>18873</v>
      </c>
      <c r="E14" s="17">
        <v>969.41269591479318</v>
      </c>
      <c r="F14" s="16">
        <v>13586</v>
      </c>
      <c r="G14" s="17">
        <v>936.80030840571237</v>
      </c>
      <c r="H14" s="17"/>
      <c r="I14" s="17"/>
      <c r="J14" s="14">
        <v>24347</v>
      </c>
      <c r="K14" s="15">
        <v>1044.9348823263645</v>
      </c>
      <c r="L14" s="16">
        <v>15381</v>
      </c>
      <c r="M14" s="17">
        <v>1067.3687920161231</v>
      </c>
      <c r="N14" s="16">
        <v>8966</v>
      </c>
      <c r="O14" s="17">
        <v>1006.4499431184485</v>
      </c>
      <c r="P14" s="17"/>
      <c r="Q14" s="17"/>
      <c r="R14" s="18" t="s">
        <v>16</v>
      </c>
      <c r="S14" s="19" t="s">
        <v>16</v>
      </c>
      <c r="T14" s="20" t="s">
        <v>16</v>
      </c>
      <c r="U14" s="21" t="s">
        <v>16</v>
      </c>
      <c r="V14" s="20" t="s">
        <v>16</v>
      </c>
      <c r="W14" s="21" t="s">
        <v>16</v>
      </c>
      <c r="X14" s="22"/>
      <c r="Y14" s="22"/>
    </row>
    <row r="15" spans="1:25" ht="13.5" customHeight="1" x14ac:dyDescent="0.2">
      <c r="A15" s="13" t="s">
        <v>24</v>
      </c>
      <c r="B15" s="14">
        <v>73354</v>
      </c>
      <c r="C15" s="15">
        <v>1025.9903673964602</v>
      </c>
      <c r="D15" s="16">
        <v>41093</v>
      </c>
      <c r="E15" s="17">
        <v>1043.1122040250166</v>
      </c>
      <c r="F15" s="16">
        <v>32261</v>
      </c>
      <c r="G15" s="17">
        <v>1004.1811354266739</v>
      </c>
      <c r="H15" s="17"/>
      <c r="I15" s="17"/>
      <c r="J15" s="14">
        <v>56677</v>
      </c>
      <c r="K15" s="15">
        <v>1094.8716839282256</v>
      </c>
      <c r="L15" s="16">
        <v>34739</v>
      </c>
      <c r="M15" s="17">
        <v>1119.6607092892718</v>
      </c>
      <c r="N15" s="16">
        <v>21938</v>
      </c>
      <c r="O15" s="17">
        <v>1055.6180622663878</v>
      </c>
      <c r="P15" s="17"/>
      <c r="Q15" s="17"/>
      <c r="R15" s="18" t="s">
        <v>16</v>
      </c>
      <c r="S15" s="19" t="s">
        <v>16</v>
      </c>
      <c r="T15" s="20" t="s">
        <v>16</v>
      </c>
      <c r="U15" s="21" t="s">
        <v>16</v>
      </c>
      <c r="V15" s="20" t="s">
        <v>16</v>
      </c>
      <c r="W15" s="21" t="s">
        <v>16</v>
      </c>
      <c r="X15" s="22"/>
      <c r="Y15" s="22"/>
    </row>
    <row r="16" spans="1:25" ht="13.5" customHeight="1" x14ac:dyDescent="0.2">
      <c r="A16" s="13" t="s">
        <v>25</v>
      </c>
      <c r="B16" s="14">
        <v>146526</v>
      </c>
      <c r="C16" s="15">
        <v>1071.2397239397856</v>
      </c>
      <c r="D16" s="16">
        <v>79736</v>
      </c>
      <c r="E16" s="17">
        <v>1100.8746970001057</v>
      </c>
      <c r="F16" s="16">
        <v>66790</v>
      </c>
      <c r="G16" s="17">
        <v>1035.860562209921</v>
      </c>
      <c r="H16" s="17"/>
      <c r="I16" s="17"/>
      <c r="J16" s="14">
        <v>110453</v>
      </c>
      <c r="K16" s="15">
        <v>1140.0256210333789</v>
      </c>
      <c r="L16" s="16">
        <v>67123</v>
      </c>
      <c r="M16" s="17">
        <v>1173.0116186701985</v>
      </c>
      <c r="N16" s="16">
        <v>43330</v>
      </c>
      <c r="O16" s="17">
        <v>1088.9266337410588</v>
      </c>
      <c r="P16" s="17"/>
      <c r="Q16" s="17"/>
      <c r="R16" s="18">
        <v>46</v>
      </c>
      <c r="S16" s="19">
        <v>2643.0593478260871</v>
      </c>
      <c r="T16" s="20">
        <v>37</v>
      </c>
      <c r="U16" s="21">
        <v>2707.0224324324327</v>
      </c>
      <c r="V16" s="20">
        <v>9</v>
      </c>
      <c r="W16" s="21">
        <v>2380.1000000000004</v>
      </c>
      <c r="X16" s="24">
        <f>(U16-W16)/U16</f>
        <v>0.12076827606436626</v>
      </c>
      <c r="Y16" s="24">
        <f>V16/R16</f>
        <v>0.19565217391304349</v>
      </c>
    </row>
    <row r="17" spans="1:34" ht="13.5" customHeight="1" x14ac:dyDescent="0.2">
      <c r="A17" s="13" t="s">
        <v>26</v>
      </c>
      <c r="B17" s="14">
        <v>234622</v>
      </c>
      <c r="C17" s="15">
        <v>1079.6381220005076</v>
      </c>
      <c r="D17" s="16">
        <v>124069</v>
      </c>
      <c r="E17" s="17">
        <v>1118.0647897541012</v>
      </c>
      <c r="F17" s="16">
        <v>110553</v>
      </c>
      <c r="G17" s="17">
        <v>1036.5134827639365</v>
      </c>
      <c r="H17" s="17"/>
      <c r="I17" s="17"/>
      <c r="J17" s="14">
        <v>167301</v>
      </c>
      <c r="K17" s="15">
        <v>1152.1617184595425</v>
      </c>
      <c r="L17" s="16">
        <v>101836</v>
      </c>
      <c r="M17" s="17">
        <v>1189.3924146667191</v>
      </c>
      <c r="N17" s="16">
        <v>65465</v>
      </c>
      <c r="O17" s="17">
        <v>1094.2464174749853</v>
      </c>
      <c r="P17" s="17"/>
      <c r="Q17" s="17"/>
      <c r="R17" s="18">
        <v>329</v>
      </c>
      <c r="S17" s="19">
        <v>2629.758176291793</v>
      </c>
      <c r="T17" s="20">
        <v>248</v>
      </c>
      <c r="U17" s="21">
        <v>2680.650322580645</v>
      </c>
      <c r="V17" s="20">
        <v>81</v>
      </c>
      <c r="W17" s="21">
        <v>2473.9402469135807</v>
      </c>
      <c r="X17" s="24">
        <f t="shared" ref="X17:X24" si="0">(U17-W17)/U17</f>
        <v>7.7111913450936723E-2</v>
      </c>
      <c r="Y17" s="24">
        <f t="shared" ref="Y17:Y24" si="1">V17/R17</f>
        <v>0.24620060790273557</v>
      </c>
    </row>
    <row r="18" spans="1:34" ht="13.5" customHeight="1" x14ac:dyDescent="0.2">
      <c r="A18" s="13" t="s">
        <v>27</v>
      </c>
      <c r="B18" s="14">
        <v>361651</v>
      </c>
      <c r="C18" s="15">
        <v>1191.1502756801517</v>
      </c>
      <c r="D18" s="16">
        <v>187940</v>
      </c>
      <c r="E18" s="17">
        <v>1309.9839260402289</v>
      </c>
      <c r="F18" s="16">
        <v>173710</v>
      </c>
      <c r="G18" s="17">
        <v>1062.5861004547921</v>
      </c>
      <c r="H18" s="10">
        <f>(E18-G18)/E18</f>
        <v>0.18885561926951408</v>
      </c>
      <c r="I18" s="10">
        <f>F18/B18</f>
        <v>0.48032495416852161</v>
      </c>
      <c r="J18" s="14">
        <v>237731</v>
      </c>
      <c r="K18" s="15">
        <v>1263.7277444254196</v>
      </c>
      <c r="L18" s="16">
        <v>147751</v>
      </c>
      <c r="M18" s="17">
        <v>1328.356774708797</v>
      </c>
      <c r="N18" s="16">
        <v>89980</v>
      </c>
      <c r="O18" s="17">
        <v>1157.6041185819065</v>
      </c>
      <c r="P18" s="10">
        <f>(M18-O18)/M18</f>
        <v>0.12854427317865941</v>
      </c>
      <c r="Q18" s="10">
        <f>N18/J18</f>
        <v>0.37849502168417243</v>
      </c>
      <c r="R18" s="18">
        <v>9160</v>
      </c>
      <c r="S18" s="19">
        <v>2840.2980851528391</v>
      </c>
      <c r="T18" s="20">
        <v>8326</v>
      </c>
      <c r="U18" s="21">
        <v>2893.4953867403319</v>
      </c>
      <c r="V18" s="20">
        <v>834</v>
      </c>
      <c r="W18" s="21">
        <v>2309.2180695443662</v>
      </c>
      <c r="X18" s="24">
        <f t="shared" si="0"/>
        <v>0.20192785510336805</v>
      </c>
      <c r="Y18" s="24">
        <f t="shared" si="1"/>
        <v>9.1048034934497812E-2</v>
      </c>
    </row>
    <row r="19" spans="1:34" ht="13.5" customHeight="1" x14ac:dyDescent="0.2">
      <c r="A19" s="13" t="s">
        <v>28</v>
      </c>
      <c r="B19" s="14">
        <v>702188</v>
      </c>
      <c r="C19" s="15">
        <v>1479.5772056201374</v>
      </c>
      <c r="D19" s="16">
        <v>390851</v>
      </c>
      <c r="E19" s="17">
        <v>1671.6330408774622</v>
      </c>
      <c r="F19" s="16">
        <v>311337</v>
      </c>
      <c r="G19" s="17">
        <v>1238.471216720133</v>
      </c>
      <c r="H19" s="10">
        <f>(E19-G19)/E19</f>
        <v>0.25912494762005711</v>
      </c>
      <c r="I19" s="10">
        <f>F19/B19</f>
        <v>0.44338125971961923</v>
      </c>
      <c r="J19" s="14">
        <v>328051</v>
      </c>
      <c r="K19" s="15">
        <v>1342.5669322452927</v>
      </c>
      <c r="L19" s="16">
        <v>204153</v>
      </c>
      <c r="M19" s="17">
        <v>1422.1500933613527</v>
      </c>
      <c r="N19" s="16">
        <v>123898</v>
      </c>
      <c r="O19" s="17">
        <v>1211.4337332321775</v>
      </c>
      <c r="P19" s="10">
        <f t="shared" ref="P19:P24" si="2">(M19-O19)/M19</f>
        <v>0.14816745511799823</v>
      </c>
      <c r="Q19" s="10">
        <f t="shared" ref="Q19:Q24" si="3">N19/J19</f>
        <v>0.37767908038689108</v>
      </c>
      <c r="R19" s="18">
        <v>202005</v>
      </c>
      <c r="S19" s="19">
        <v>2153.1693332838258</v>
      </c>
      <c r="T19" s="20">
        <v>147580</v>
      </c>
      <c r="U19" s="21">
        <v>2240.3640715544066</v>
      </c>
      <c r="V19" s="20">
        <v>54425</v>
      </c>
      <c r="W19" s="21">
        <v>1916.7302065227366</v>
      </c>
      <c r="X19" s="25">
        <f t="shared" si="0"/>
        <v>0.14445592532963927</v>
      </c>
      <c r="Y19" s="25">
        <f t="shared" si="1"/>
        <v>0.26942402415781785</v>
      </c>
    </row>
    <row r="20" spans="1:34" ht="13.5" customHeight="1" x14ac:dyDescent="0.2">
      <c r="A20" s="13" t="s">
        <v>29</v>
      </c>
      <c r="B20" s="14">
        <v>1990164</v>
      </c>
      <c r="C20" s="15">
        <v>1609.0279111771931</v>
      </c>
      <c r="D20" s="16">
        <v>1056721</v>
      </c>
      <c r="E20" s="17">
        <v>1787.4417288480347</v>
      </c>
      <c r="F20" s="16">
        <v>933442</v>
      </c>
      <c r="G20" s="17">
        <v>1407.0516449227944</v>
      </c>
      <c r="H20" s="10">
        <f t="shared" ref="H20:H24" si="4">(E20-G20)/E20</f>
        <v>0.21281257888635791</v>
      </c>
      <c r="I20" s="10">
        <f t="shared" ref="I20:I24" si="5">F20/B20</f>
        <v>0.46902767812099905</v>
      </c>
      <c r="J20" s="14">
        <v>123402</v>
      </c>
      <c r="K20" s="15">
        <v>1391.620698286901</v>
      </c>
      <c r="L20" s="16">
        <v>72116</v>
      </c>
      <c r="M20" s="17">
        <v>1502.1427127128518</v>
      </c>
      <c r="N20" s="16">
        <v>51286</v>
      </c>
      <c r="O20" s="17">
        <v>1236.2097558787996</v>
      </c>
      <c r="P20" s="10">
        <f t="shared" si="2"/>
        <v>0.17703574672594222</v>
      </c>
      <c r="Q20" s="10">
        <f t="shared" si="3"/>
        <v>0.41560104374321322</v>
      </c>
      <c r="R20" s="18">
        <v>1635316</v>
      </c>
      <c r="S20" s="19">
        <v>1715.1243854949132</v>
      </c>
      <c r="T20" s="20">
        <v>944596</v>
      </c>
      <c r="U20" s="21">
        <v>1851.6554430994811</v>
      </c>
      <c r="V20" s="20">
        <v>690720</v>
      </c>
      <c r="W20" s="21">
        <v>1528.4109692205268</v>
      </c>
      <c r="X20" s="25">
        <f t="shared" si="0"/>
        <v>0.17457053097193734</v>
      </c>
      <c r="Y20" s="25">
        <f t="shared" si="1"/>
        <v>0.42237708186063122</v>
      </c>
    </row>
    <row r="21" spans="1:34" ht="13.5" customHeight="1" x14ac:dyDescent="0.2">
      <c r="A21" s="13" t="s">
        <v>30</v>
      </c>
      <c r="B21" s="14">
        <v>1916860</v>
      </c>
      <c r="C21" s="15">
        <v>1555.0855362050697</v>
      </c>
      <c r="D21" s="16">
        <v>966176</v>
      </c>
      <c r="E21" s="17">
        <v>1799.5717578371089</v>
      </c>
      <c r="F21" s="16">
        <v>950684</v>
      </c>
      <c r="G21" s="17">
        <v>1306.6152562050308</v>
      </c>
      <c r="H21" s="10">
        <f t="shared" si="4"/>
        <v>0.27392989442363697</v>
      </c>
      <c r="I21" s="10">
        <f t="shared" si="5"/>
        <v>0.49595901630792022</v>
      </c>
      <c r="J21" s="14">
        <v>17</v>
      </c>
      <c r="K21" s="15">
        <v>882.33588235294121</v>
      </c>
      <c r="L21" s="16">
        <v>12</v>
      </c>
      <c r="M21" s="17">
        <v>958.68916666666667</v>
      </c>
      <c r="N21" s="16">
        <v>5</v>
      </c>
      <c r="O21" s="17">
        <v>699.08800000000008</v>
      </c>
      <c r="P21" s="10">
        <f t="shared" si="2"/>
        <v>0.27078762928895089</v>
      </c>
      <c r="Q21" s="10">
        <f t="shared" si="3"/>
        <v>0.29411764705882354</v>
      </c>
      <c r="R21" s="18">
        <v>1630498</v>
      </c>
      <c r="S21" s="19">
        <v>1655.9258194796942</v>
      </c>
      <c r="T21" s="20">
        <v>927944</v>
      </c>
      <c r="U21" s="21">
        <v>1844.3548672333686</v>
      </c>
      <c r="V21" s="20">
        <v>702554</v>
      </c>
      <c r="W21" s="21">
        <v>1407.0458696271055</v>
      </c>
      <c r="X21" s="25">
        <f t="shared" si="0"/>
        <v>0.23710675498270575</v>
      </c>
      <c r="Y21" s="25">
        <f t="shared" si="1"/>
        <v>0.43088307989338226</v>
      </c>
    </row>
    <row r="22" spans="1:34" ht="13.5" customHeight="1" x14ac:dyDescent="0.2">
      <c r="A22" s="13" t="s">
        <v>31</v>
      </c>
      <c r="B22" s="14">
        <v>1683925</v>
      </c>
      <c r="C22" s="15">
        <v>1451.4808087533756</v>
      </c>
      <c r="D22" s="16">
        <v>812831</v>
      </c>
      <c r="E22" s="17">
        <v>1777.6881275566773</v>
      </c>
      <c r="F22" s="16">
        <v>871092</v>
      </c>
      <c r="G22" s="17">
        <v>1147.0912237972643</v>
      </c>
      <c r="H22" s="10">
        <f t="shared" si="4"/>
        <v>0.35472864670932436</v>
      </c>
      <c r="I22" s="10">
        <f t="shared" si="5"/>
        <v>0.51729857327375028</v>
      </c>
      <c r="J22" s="14">
        <v>30</v>
      </c>
      <c r="K22" s="15">
        <v>799.71800000000019</v>
      </c>
      <c r="L22" s="16">
        <v>8</v>
      </c>
      <c r="M22" s="17">
        <v>1110.1000000000001</v>
      </c>
      <c r="N22" s="16">
        <v>22</v>
      </c>
      <c r="O22" s="17">
        <v>686.85181818181832</v>
      </c>
      <c r="P22" s="10">
        <f t="shared" si="2"/>
        <v>0.38127031962722435</v>
      </c>
      <c r="Q22" s="10">
        <f t="shared" si="3"/>
        <v>0.73333333333333328</v>
      </c>
      <c r="R22" s="18">
        <v>1311190</v>
      </c>
      <c r="S22" s="19">
        <v>1580.0830623860722</v>
      </c>
      <c r="T22" s="20">
        <v>777015</v>
      </c>
      <c r="U22" s="21">
        <v>1830.1831998996072</v>
      </c>
      <c r="V22" s="20">
        <v>534173</v>
      </c>
      <c r="W22" s="21">
        <v>1216.2847941584484</v>
      </c>
      <c r="X22" s="25">
        <f t="shared" si="0"/>
        <v>0.33543003005099897</v>
      </c>
      <c r="Y22" s="25">
        <f t="shared" si="1"/>
        <v>0.40739557196134807</v>
      </c>
    </row>
    <row r="23" spans="1:34" ht="13.5" customHeight="1" x14ac:dyDescent="0.2">
      <c r="A23" s="13" t="s">
        <v>32</v>
      </c>
      <c r="B23" s="14">
        <v>1392064</v>
      </c>
      <c r="C23" s="15">
        <v>1277.2586988385701</v>
      </c>
      <c r="D23" s="16">
        <v>597917</v>
      </c>
      <c r="E23" s="17">
        <v>1644.277018181464</v>
      </c>
      <c r="F23" s="16">
        <v>794144</v>
      </c>
      <c r="G23" s="17">
        <v>1000.9278635486874</v>
      </c>
      <c r="H23" s="10">
        <f t="shared" si="4"/>
        <v>0.39126567331355599</v>
      </c>
      <c r="I23" s="10">
        <f t="shared" si="5"/>
        <v>0.57047951818307208</v>
      </c>
      <c r="J23" s="14">
        <v>126</v>
      </c>
      <c r="K23" s="15">
        <v>574.25309523809494</v>
      </c>
      <c r="L23" s="16">
        <v>19</v>
      </c>
      <c r="M23" s="17">
        <v>687.81526315789506</v>
      </c>
      <c r="N23" s="16">
        <v>107</v>
      </c>
      <c r="O23" s="17">
        <v>554.08785046728929</v>
      </c>
      <c r="P23" s="10">
        <f t="shared" si="2"/>
        <v>0.19442344456945743</v>
      </c>
      <c r="Q23" s="10">
        <f t="shared" si="3"/>
        <v>0.84920634920634919</v>
      </c>
      <c r="R23" s="18">
        <v>959781</v>
      </c>
      <c r="S23" s="19">
        <v>1409.8858561796965</v>
      </c>
      <c r="T23" s="20">
        <v>565807</v>
      </c>
      <c r="U23" s="21">
        <v>1704.7577971463857</v>
      </c>
      <c r="V23" s="20">
        <v>393972</v>
      </c>
      <c r="W23" s="21">
        <v>986.4019802676338</v>
      </c>
      <c r="X23" s="25">
        <f t="shared" si="0"/>
        <v>0.42138291907578673</v>
      </c>
      <c r="Y23" s="25">
        <f t="shared" si="1"/>
        <v>0.41048114101029298</v>
      </c>
    </row>
    <row r="24" spans="1:34" ht="13.5" customHeight="1" x14ac:dyDescent="0.2">
      <c r="A24" s="13" t="s">
        <v>33</v>
      </c>
      <c r="B24" s="14">
        <v>1734743</v>
      </c>
      <c r="C24" s="15">
        <v>1068.8758618423901</v>
      </c>
      <c r="D24" s="16">
        <v>563811</v>
      </c>
      <c r="E24" s="17">
        <v>1388.240558875267</v>
      </c>
      <c r="F24" s="16">
        <v>1170911</v>
      </c>
      <c r="G24" s="17">
        <v>915.09780439335736</v>
      </c>
      <c r="H24" s="10">
        <f t="shared" si="4"/>
        <v>0.3408218780650259</v>
      </c>
      <c r="I24" s="10">
        <f t="shared" si="5"/>
        <v>0.67497663919093487</v>
      </c>
      <c r="J24" s="14">
        <v>1646</v>
      </c>
      <c r="K24" s="15">
        <v>567.26750303766551</v>
      </c>
      <c r="L24" s="16">
        <v>62</v>
      </c>
      <c r="M24" s="17">
        <v>590.55967741935433</v>
      </c>
      <c r="N24" s="16">
        <v>1584</v>
      </c>
      <c r="O24" s="17">
        <v>566.35581439393775</v>
      </c>
      <c r="P24" s="10">
        <f t="shared" si="2"/>
        <v>4.098461840670084E-2</v>
      </c>
      <c r="Q24" s="10">
        <f t="shared" si="3"/>
        <v>0.9623329283110571</v>
      </c>
      <c r="R24" s="18">
        <v>940255</v>
      </c>
      <c r="S24" s="19">
        <v>1177.7165110954211</v>
      </c>
      <c r="T24" s="20">
        <v>513917</v>
      </c>
      <c r="U24" s="21">
        <v>1471.6035335667398</v>
      </c>
      <c r="V24" s="20">
        <v>426323</v>
      </c>
      <c r="W24" s="21">
        <v>823.45089765273451</v>
      </c>
      <c r="X24" s="25">
        <f t="shared" si="0"/>
        <v>0.44043971160022388</v>
      </c>
      <c r="Y24" s="25">
        <f t="shared" si="1"/>
        <v>0.45341210629031486</v>
      </c>
    </row>
    <row r="25" spans="1:34" ht="13.5" customHeight="1" x14ac:dyDescent="0.2">
      <c r="A25" s="13" t="s">
        <v>34</v>
      </c>
      <c r="B25" s="14">
        <v>78</v>
      </c>
      <c r="C25" s="15">
        <v>2333.5819230769234</v>
      </c>
      <c r="D25" s="16">
        <v>60</v>
      </c>
      <c r="E25" s="17">
        <v>2566.2653333333342</v>
      </c>
      <c r="F25" s="16">
        <v>18</v>
      </c>
      <c r="G25" s="17">
        <v>1557.9705555555554</v>
      </c>
      <c r="H25" s="17"/>
      <c r="I25" s="17"/>
      <c r="J25" s="14">
        <v>2</v>
      </c>
      <c r="K25" s="15">
        <v>1206.6500000000001</v>
      </c>
      <c r="L25" s="16">
        <v>2</v>
      </c>
      <c r="M25" s="17">
        <v>1206.6500000000001</v>
      </c>
      <c r="N25" s="16" t="s">
        <v>16</v>
      </c>
      <c r="O25" s="17" t="s">
        <v>16</v>
      </c>
      <c r="P25" s="17"/>
      <c r="Q25" s="17"/>
      <c r="R25" s="18">
        <v>75</v>
      </c>
      <c r="S25" s="19">
        <v>2380.0629333333336</v>
      </c>
      <c r="T25" s="20">
        <v>58</v>
      </c>
      <c r="U25" s="21">
        <v>2613.1486206896557</v>
      </c>
      <c r="V25" s="20">
        <v>17</v>
      </c>
      <c r="W25" s="21">
        <v>1584.8294117647058</v>
      </c>
      <c r="X25" s="22"/>
      <c r="Y25" s="22"/>
    </row>
    <row r="26" spans="1:34" s="39" customFormat="1" ht="24" customHeight="1" x14ac:dyDescent="0.2">
      <c r="A26" s="26" t="s">
        <v>35</v>
      </c>
      <c r="B26" s="27">
        <v>72.789488781008941</v>
      </c>
      <c r="C26" s="28" t="s">
        <v>36</v>
      </c>
      <c r="D26" s="29">
        <v>71.157526447586605</v>
      </c>
      <c r="E26" s="30" t="s">
        <v>36</v>
      </c>
      <c r="F26" s="29">
        <v>74.249244305437315</v>
      </c>
      <c r="G26" s="30" t="s">
        <v>36</v>
      </c>
      <c r="H26" s="30"/>
      <c r="I26" s="30"/>
      <c r="J26" s="27">
        <v>56.344085211167432</v>
      </c>
      <c r="K26" s="28" t="s">
        <v>36</v>
      </c>
      <c r="L26" s="31">
        <v>56.249311540305627</v>
      </c>
      <c r="M26" s="32" t="s">
        <v>36</v>
      </c>
      <c r="N26" s="31">
        <v>56.494203099631711</v>
      </c>
      <c r="O26" s="32" t="s">
        <v>36</v>
      </c>
      <c r="P26" s="32"/>
      <c r="Q26" s="32"/>
      <c r="R26" s="33">
        <v>75.333735112684607</v>
      </c>
      <c r="S26" s="34" t="s">
        <v>36</v>
      </c>
      <c r="T26" s="35">
        <v>75.108444538241187</v>
      </c>
      <c r="U26" s="36" t="s">
        <v>36</v>
      </c>
      <c r="V26" s="35">
        <v>75.645923732051514</v>
      </c>
      <c r="W26" s="36" t="s">
        <v>36</v>
      </c>
      <c r="X26" s="37"/>
      <c r="Y26" s="37"/>
      <c r="Z26" s="38"/>
      <c r="AA26" s="38"/>
      <c r="AB26" s="38"/>
      <c r="AC26" s="38"/>
      <c r="AD26" s="38"/>
      <c r="AE26" s="38"/>
      <c r="AF26" s="38"/>
      <c r="AG26" s="38"/>
      <c r="AH26" s="38"/>
    </row>
    <row r="27" spans="1:34" ht="24" customHeight="1" x14ac:dyDescent="0.2">
      <c r="A27" s="130" t="s">
        <v>2</v>
      </c>
      <c r="B27" s="151" t="s">
        <v>37</v>
      </c>
      <c r="C27" s="152"/>
      <c r="D27" s="152"/>
      <c r="E27" s="152"/>
      <c r="F27" s="152"/>
      <c r="G27" s="152"/>
      <c r="H27" s="152"/>
      <c r="I27" s="153"/>
      <c r="J27" s="154" t="s">
        <v>38</v>
      </c>
      <c r="K27" s="155"/>
      <c r="L27" s="155"/>
      <c r="M27" s="155"/>
      <c r="N27" s="155"/>
      <c r="O27" s="155"/>
      <c r="P27" s="155"/>
      <c r="Q27" s="155"/>
      <c r="R27" s="156" t="s">
        <v>39</v>
      </c>
      <c r="S27" s="156"/>
      <c r="T27" s="156"/>
      <c r="U27" s="156"/>
      <c r="V27" s="156"/>
      <c r="W27" s="156"/>
      <c r="X27" s="156"/>
      <c r="Y27" s="156"/>
    </row>
    <row r="28" spans="1:34" ht="19.5" customHeight="1" x14ac:dyDescent="0.2">
      <c r="A28" s="131"/>
      <c r="B28" s="122" t="s">
        <v>6</v>
      </c>
      <c r="C28" s="140"/>
      <c r="D28" s="122" t="s">
        <v>7</v>
      </c>
      <c r="E28" s="123"/>
      <c r="F28" s="124" t="s">
        <v>8</v>
      </c>
      <c r="G28" s="125"/>
      <c r="H28" s="127" t="s">
        <v>9</v>
      </c>
      <c r="I28" s="127"/>
      <c r="J28" s="122" t="s">
        <v>6</v>
      </c>
      <c r="K28" s="140"/>
      <c r="L28" s="122" t="s">
        <v>7</v>
      </c>
      <c r="M28" s="123"/>
      <c r="N28" s="124" t="s">
        <v>8</v>
      </c>
      <c r="O28" s="125"/>
      <c r="P28" s="126" t="s">
        <v>9</v>
      </c>
      <c r="Q28" s="149"/>
      <c r="R28" s="150" t="s">
        <v>6</v>
      </c>
      <c r="S28" s="150"/>
      <c r="T28" s="150" t="s">
        <v>7</v>
      </c>
      <c r="U28" s="150"/>
      <c r="V28" s="127" t="s">
        <v>8</v>
      </c>
      <c r="W28" s="127"/>
      <c r="X28" s="127" t="s">
        <v>9</v>
      </c>
      <c r="Y28" s="127"/>
    </row>
    <row r="29" spans="1:34" ht="25.5" customHeight="1" x14ac:dyDescent="0.2">
      <c r="A29" s="132"/>
      <c r="B29" s="2" t="s">
        <v>10</v>
      </c>
      <c r="C29" s="3" t="s">
        <v>11</v>
      </c>
      <c r="D29" s="2" t="s">
        <v>10</v>
      </c>
      <c r="E29" s="3" t="s">
        <v>11</v>
      </c>
      <c r="F29" s="2" t="s">
        <v>10</v>
      </c>
      <c r="G29" s="3" t="s">
        <v>11</v>
      </c>
      <c r="H29" s="4" t="s">
        <v>12</v>
      </c>
      <c r="I29" s="5" t="s">
        <v>13</v>
      </c>
      <c r="J29" s="2" t="s">
        <v>10</v>
      </c>
      <c r="K29" s="3" t="s">
        <v>11</v>
      </c>
      <c r="L29" s="2" t="s">
        <v>10</v>
      </c>
      <c r="M29" s="3" t="s">
        <v>11</v>
      </c>
      <c r="N29" s="2" t="s">
        <v>10</v>
      </c>
      <c r="O29" s="3" t="s">
        <v>11</v>
      </c>
      <c r="P29" s="4" t="s">
        <v>12</v>
      </c>
      <c r="Q29" s="40" t="s">
        <v>13</v>
      </c>
      <c r="R29" s="41" t="s">
        <v>10</v>
      </c>
      <c r="S29" s="4" t="s">
        <v>11</v>
      </c>
      <c r="T29" s="41" t="s">
        <v>10</v>
      </c>
      <c r="U29" s="4" t="s">
        <v>11</v>
      </c>
      <c r="V29" s="41" t="s">
        <v>10</v>
      </c>
      <c r="W29" s="4" t="s">
        <v>11</v>
      </c>
      <c r="X29" s="4" t="s">
        <v>12</v>
      </c>
      <c r="Y29" s="5" t="s">
        <v>13</v>
      </c>
    </row>
    <row r="30" spans="1:34" ht="24" customHeight="1" thickBot="1" x14ac:dyDescent="0.25">
      <c r="A30" s="42" t="s">
        <v>14</v>
      </c>
      <c r="B30" s="8">
        <v>2343215</v>
      </c>
      <c r="C30" s="9">
        <v>973.84686936111905</v>
      </c>
      <c r="D30" s="8">
        <v>217128</v>
      </c>
      <c r="E30" s="9">
        <v>667.67878200877033</v>
      </c>
      <c r="F30" s="8">
        <v>2126079</v>
      </c>
      <c r="G30" s="9">
        <v>1005.1146174907028</v>
      </c>
      <c r="H30" s="10">
        <f>(E30-G30)/E30</f>
        <v>-0.5053864890939429</v>
      </c>
      <c r="I30" s="10">
        <f>F30/B30</f>
        <v>0.90733415414291907</v>
      </c>
      <c r="J30" s="8">
        <v>336141</v>
      </c>
      <c r="K30" s="9">
        <v>550.45733665336923</v>
      </c>
      <c r="L30" s="8">
        <v>176371</v>
      </c>
      <c r="M30" s="9">
        <v>553.93807394641033</v>
      </c>
      <c r="N30" s="8">
        <v>159753</v>
      </c>
      <c r="O30" s="9">
        <v>546.63555563902355</v>
      </c>
      <c r="P30" s="10">
        <f>(M30-O30)/M30</f>
        <v>1.3182914572673414E-2</v>
      </c>
      <c r="Q30" s="10">
        <f>N30/J30</f>
        <v>0.47525591939096984</v>
      </c>
      <c r="R30" s="43">
        <v>46768</v>
      </c>
      <c r="S30" s="44">
        <v>821.87106996236753</v>
      </c>
      <c r="T30" s="43">
        <v>16501</v>
      </c>
      <c r="U30" s="44">
        <v>793.00342161079914</v>
      </c>
      <c r="V30" s="43">
        <v>30267</v>
      </c>
      <c r="W30" s="44">
        <v>837.60916972278733</v>
      </c>
      <c r="X30" s="24">
        <f>(U30-W30)/U30</f>
        <v>-5.6249124400222825E-2</v>
      </c>
      <c r="Y30" s="24">
        <f>V30/R30</f>
        <v>0.6471732808758125</v>
      </c>
    </row>
    <row r="31" spans="1:34" ht="13.5" customHeight="1" thickTop="1" x14ac:dyDescent="0.2">
      <c r="A31" s="13" t="s">
        <v>15</v>
      </c>
      <c r="B31" s="14" t="s">
        <v>16</v>
      </c>
      <c r="C31" s="15" t="s">
        <v>16</v>
      </c>
      <c r="D31" s="16" t="s">
        <v>16</v>
      </c>
      <c r="E31" s="17" t="s">
        <v>16</v>
      </c>
      <c r="F31" s="16" t="s">
        <v>16</v>
      </c>
      <c r="G31" s="17" t="s">
        <v>16</v>
      </c>
      <c r="H31" s="17"/>
      <c r="I31" s="17"/>
      <c r="J31" s="14">
        <v>2129</v>
      </c>
      <c r="K31" s="15">
        <v>380.37856740253625</v>
      </c>
      <c r="L31" s="16">
        <v>1102</v>
      </c>
      <c r="M31" s="17">
        <v>382.2463157894735</v>
      </c>
      <c r="N31" s="16">
        <v>1027</v>
      </c>
      <c r="O31" s="17">
        <v>378.37442064264837</v>
      </c>
      <c r="P31" s="17"/>
      <c r="Q31" s="17"/>
      <c r="R31" s="18">
        <v>1</v>
      </c>
      <c r="S31" s="19">
        <v>376.96</v>
      </c>
      <c r="T31" s="20">
        <v>1</v>
      </c>
      <c r="U31" s="21">
        <v>376.96</v>
      </c>
      <c r="V31" s="20" t="s">
        <v>16</v>
      </c>
      <c r="W31" s="21" t="s">
        <v>16</v>
      </c>
      <c r="X31" s="22"/>
      <c r="Y31" s="22"/>
    </row>
    <row r="32" spans="1:34" ht="13.5" customHeight="1" x14ac:dyDescent="0.2">
      <c r="A32" s="23" t="s">
        <v>17</v>
      </c>
      <c r="B32" s="14" t="s">
        <v>16</v>
      </c>
      <c r="C32" s="15" t="s">
        <v>16</v>
      </c>
      <c r="D32" s="16" t="s">
        <v>16</v>
      </c>
      <c r="E32" s="17" t="s">
        <v>16</v>
      </c>
      <c r="F32" s="16" t="s">
        <v>16</v>
      </c>
      <c r="G32" s="17" t="s">
        <v>16</v>
      </c>
      <c r="H32" s="17"/>
      <c r="I32" s="17"/>
      <c r="J32" s="14">
        <v>10174</v>
      </c>
      <c r="K32" s="15">
        <v>383.62579811283638</v>
      </c>
      <c r="L32" s="16">
        <v>5203</v>
      </c>
      <c r="M32" s="17">
        <v>385.1767057466846</v>
      </c>
      <c r="N32" s="16">
        <v>4971</v>
      </c>
      <c r="O32" s="17">
        <v>382.00250854958711</v>
      </c>
      <c r="P32" s="17"/>
      <c r="Q32" s="17"/>
      <c r="R32" s="18" t="s">
        <v>16</v>
      </c>
      <c r="S32" s="19" t="s">
        <v>16</v>
      </c>
      <c r="T32" s="20" t="s">
        <v>16</v>
      </c>
      <c r="U32" s="21" t="s">
        <v>16</v>
      </c>
      <c r="V32" s="20" t="s">
        <v>16</v>
      </c>
      <c r="W32" s="21" t="s">
        <v>16</v>
      </c>
      <c r="X32" s="22"/>
      <c r="Y32" s="22"/>
    </row>
    <row r="33" spans="1:25" ht="13.5" customHeight="1" x14ac:dyDescent="0.2">
      <c r="A33" s="23" t="s">
        <v>18</v>
      </c>
      <c r="B33" s="14" t="s">
        <v>16</v>
      </c>
      <c r="C33" s="15" t="s">
        <v>16</v>
      </c>
      <c r="D33" s="16" t="s">
        <v>16</v>
      </c>
      <c r="E33" s="17" t="s">
        <v>16</v>
      </c>
      <c r="F33" s="16" t="s">
        <v>16</v>
      </c>
      <c r="G33" s="17" t="s">
        <v>16</v>
      </c>
      <c r="H33" s="17"/>
      <c r="I33" s="17"/>
      <c r="J33" s="14">
        <v>26414</v>
      </c>
      <c r="K33" s="15">
        <v>387.68013780570874</v>
      </c>
      <c r="L33" s="16">
        <v>13452</v>
      </c>
      <c r="M33" s="17">
        <v>386.69880389533137</v>
      </c>
      <c r="N33" s="16">
        <v>12962</v>
      </c>
      <c r="O33" s="17">
        <v>388.69856889368873</v>
      </c>
      <c r="P33" s="17"/>
      <c r="Q33" s="17"/>
      <c r="R33" s="18">
        <v>9</v>
      </c>
      <c r="S33" s="19">
        <v>358.07222222222219</v>
      </c>
      <c r="T33" s="20">
        <v>4</v>
      </c>
      <c r="U33" s="21">
        <v>306.685</v>
      </c>
      <c r="V33" s="20">
        <v>5</v>
      </c>
      <c r="W33" s="21">
        <v>399.18199999999996</v>
      </c>
      <c r="X33" s="22"/>
      <c r="Y33" s="22"/>
    </row>
    <row r="34" spans="1:25" ht="13.5" customHeight="1" x14ac:dyDescent="0.2">
      <c r="A34" s="23" t="s">
        <v>19</v>
      </c>
      <c r="B34" s="14">
        <v>1</v>
      </c>
      <c r="C34" s="15">
        <v>1266.68</v>
      </c>
      <c r="D34" s="16" t="s">
        <v>16</v>
      </c>
      <c r="E34" s="17" t="s">
        <v>16</v>
      </c>
      <c r="F34" s="16">
        <v>1</v>
      </c>
      <c r="G34" s="17">
        <v>1266.68</v>
      </c>
      <c r="H34" s="17"/>
      <c r="I34" s="17"/>
      <c r="J34" s="14">
        <v>58182</v>
      </c>
      <c r="K34" s="15">
        <v>391.32411604963681</v>
      </c>
      <c r="L34" s="16">
        <v>29799</v>
      </c>
      <c r="M34" s="17">
        <v>392.87159367763968</v>
      </c>
      <c r="N34" s="16">
        <v>28372</v>
      </c>
      <c r="O34" s="17">
        <v>389.72654095587137</v>
      </c>
      <c r="P34" s="17"/>
      <c r="Q34" s="17"/>
      <c r="R34" s="18">
        <v>31</v>
      </c>
      <c r="S34" s="19">
        <v>382.41129032258067</v>
      </c>
      <c r="T34" s="20">
        <v>15</v>
      </c>
      <c r="U34" s="21">
        <v>354.75666666666672</v>
      </c>
      <c r="V34" s="20">
        <v>16</v>
      </c>
      <c r="W34" s="21">
        <v>408.33750000000003</v>
      </c>
      <c r="X34" s="22"/>
      <c r="Y34" s="22"/>
    </row>
    <row r="35" spans="1:25" ht="13.5" customHeight="1" x14ac:dyDescent="0.2">
      <c r="A35" s="23" t="s">
        <v>20</v>
      </c>
      <c r="B35" s="14">
        <v>19</v>
      </c>
      <c r="C35" s="15">
        <v>924.20105263157893</v>
      </c>
      <c r="D35" s="16">
        <v>1</v>
      </c>
      <c r="E35" s="17">
        <v>272.7</v>
      </c>
      <c r="F35" s="16">
        <v>18</v>
      </c>
      <c r="G35" s="17">
        <v>960.39555555555546</v>
      </c>
      <c r="H35" s="17"/>
      <c r="I35" s="17"/>
      <c r="J35" s="14">
        <v>89706</v>
      </c>
      <c r="K35" s="15">
        <v>400.45829197601051</v>
      </c>
      <c r="L35" s="16">
        <v>44366</v>
      </c>
      <c r="M35" s="17">
        <v>400.60243114096363</v>
      </c>
      <c r="N35" s="16">
        <v>45335</v>
      </c>
      <c r="O35" s="17">
        <v>400.3172361310248</v>
      </c>
      <c r="P35" s="17"/>
      <c r="Q35" s="17"/>
      <c r="R35" s="18">
        <v>20</v>
      </c>
      <c r="S35" s="19">
        <v>497.94650000000001</v>
      </c>
      <c r="T35" s="20">
        <v>11</v>
      </c>
      <c r="U35" s="21">
        <v>555.96363636363628</v>
      </c>
      <c r="V35" s="20">
        <v>9</v>
      </c>
      <c r="W35" s="21">
        <v>427.03666666666663</v>
      </c>
      <c r="X35" s="22"/>
      <c r="Y35" s="22"/>
    </row>
    <row r="36" spans="1:25" ht="13.5" customHeight="1" x14ac:dyDescent="0.2">
      <c r="A36" s="23" t="s">
        <v>21</v>
      </c>
      <c r="B36" s="14">
        <v>185</v>
      </c>
      <c r="C36" s="15">
        <v>979.4846486486482</v>
      </c>
      <c r="D36" s="16">
        <v>16</v>
      </c>
      <c r="E36" s="17">
        <v>801.19062499999995</v>
      </c>
      <c r="F36" s="16">
        <v>169</v>
      </c>
      <c r="G36" s="17">
        <v>996.36455621301729</v>
      </c>
      <c r="H36" s="17"/>
      <c r="I36" s="17"/>
      <c r="J36" s="14">
        <v>4764</v>
      </c>
      <c r="K36" s="15">
        <v>454.43591519731314</v>
      </c>
      <c r="L36" s="16">
        <v>2472</v>
      </c>
      <c r="M36" s="17">
        <v>452.7617152103557</v>
      </c>
      <c r="N36" s="16">
        <v>2292</v>
      </c>
      <c r="O36" s="17">
        <v>456.24159685863896</v>
      </c>
      <c r="P36" s="17"/>
      <c r="Q36" s="17"/>
      <c r="R36" s="18">
        <v>114</v>
      </c>
      <c r="S36" s="19">
        <v>359.01885964912287</v>
      </c>
      <c r="T36" s="20">
        <v>51</v>
      </c>
      <c r="U36" s="21">
        <v>344.5096078431373</v>
      </c>
      <c r="V36" s="20">
        <v>63</v>
      </c>
      <c r="W36" s="21">
        <v>370.76444444444451</v>
      </c>
      <c r="X36" s="22"/>
      <c r="Y36" s="22"/>
    </row>
    <row r="37" spans="1:25" ht="13.5" customHeight="1" x14ac:dyDescent="0.2">
      <c r="A37" s="13" t="s">
        <v>22</v>
      </c>
      <c r="B37" s="14">
        <v>835</v>
      </c>
      <c r="C37" s="15">
        <v>993.38325748502996</v>
      </c>
      <c r="D37" s="16">
        <v>116</v>
      </c>
      <c r="E37" s="17">
        <v>980.35715517241374</v>
      </c>
      <c r="F37" s="16">
        <v>719</v>
      </c>
      <c r="G37" s="17">
        <v>995.48482614742693</v>
      </c>
      <c r="H37" s="17"/>
      <c r="I37" s="17"/>
      <c r="J37" s="14">
        <v>3241</v>
      </c>
      <c r="K37" s="15">
        <v>454.5030021598273</v>
      </c>
      <c r="L37" s="16">
        <v>1992</v>
      </c>
      <c r="M37" s="17">
        <v>458.64973895582347</v>
      </c>
      <c r="N37" s="16">
        <v>1249</v>
      </c>
      <c r="O37" s="17">
        <v>447.8894715772617</v>
      </c>
      <c r="P37" s="17"/>
      <c r="Q37" s="17"/>
      <c r="R37" s="18">
        <v>103</v>
      </c>
      <c r="S37" s="19">
        <v>346.05980582524273</v>
      </c>
      <c r="T37" s="20">
        <v>51</v>
      </c>
      <c r="U37" s="21">
        <v>367.24078431372556</v>
      </c>
      <c r="V37" s="20">
        <v>52</v>
      </c>
      <c r="W37" s="21">
        <v>325.28615384615392</v>
      </c>
      <c r="X37" s="22"/>
      <c r="Y37" s="22"/>
    </row>
    <row r="38" spans="1:25" ht="13.5" customHeight="1" x14ac:dyDescent="0.2">
      <c r="A38" s="13" t="s">
        <v>23</v>
      </c>
      <c r="B38" s="14">
        <v>3042</v>
      </c>
      <c r="C38" s="15">
        <v>1019.7815253122951</v>
      </c>
      <c r="D38" s="16">
        <v>427</v>
      </c>
      <c r="E38" s="17">
        <v>880.67716627634707</v>
      </c>
      <c r="F38" s="16">
        <v>2615</v>
      </c>
      <c r="G38" s="17">
        <v>1042.49569789675</v>
      </c>
      <c r="H38" s="10"/>
      <c r="I38" s="10"/>
      <c r="J38" s="14">
        <v>4968</v>
      </c>
      <c r="K38" s="15">
        <v>490.69149355877602</v>
      </c>
      <c r="L38" s="16">
        <v>3011</v>
      </c>
      <c r="M38" s="17">
        <v>491.23754234473563</v>
      </c>
      <c r="N38" s="16">
        <v>1957</v>
      </c>
      <c r="O38" s="17">
        <v>489.85135411343913</v>
      </c>
      <c r="P38" s="17"/>
      <c r="Q38" s="17"/>
      <c r="R38" s="18">
        <v>102</v>
      </c>
      <c r="S38" s="19">
        <v>413.083137254902</v>
      </c>
      <c r="T38" s="20">
        <v>54</v>
      </c>
      <c r="U38" s="21">
        <v>432.61166666666662</v>
      </c>
      <c r="V38" s="20">
        <v>48</v>
      </c>
      <c r="W38" s="21">
        <v>391.11354166666678</v>
      </c>
      <c r="X38" s="22"/>
      <c r="Y38" s="22"/>
    </row>
    <row r="39" spans="1:25" ht="13.5" customHeight="1" x14ac:dyDescent="0.2">
      <c r="A39" s="13" t="s">
        <v>24</v>
      </c>
      <c r="B39" s="14">
        <v>8628</v>
      </c>
      <c r="C39" s="15">
        <v>1024.1105656003722</v>
      </c>
      <c r="D39" s="16">
        <v>1495</v>
      </c>
      <c r="E39" s="17">
        <v>906.39762541806067</v>
      </c>
      <c r="F39" s="16">
        <v>7133</v>
      </c>
      <c r="G39" s="17">
        <v>1048.781930464042</v>
      </c>
      <c r="H39" s="10"/>
      <c r="I39" s="10"/>
      <c r="J39" s="14">
        <v>7877</v>
      </c>
      <c r="K39" s="15">
        <v>546.35934111971494</v>
      </c>
      <c r="L39" s="16">
        <v>4773</v>
      </c>
      <c r="M39" s="17">
        <v>540.07665619107433</v>
      </c>
      <c r="N39" s="16">
        <v>3104</v>
      </c>
      <c r="O39" s="17">
        <v>556.02018363401965</v>
      </c>
      <c r="P39" s="17"/>
      <c r="Q39" s="17"/>
      <c r="R39" s="18">
        <v>172</v>
      </c>
      <c r="S39" s="19">
        <v>388.1191279069767</v>
      </c>
      <c r="T39" s="20">
        <v>86</v>
      </c>
      <c r="U39" s="21">
        <v>417.04755813953483</v>
      </c>
      <c r="V39" s="20">
        <v>86</v>
      </c>
      <c r="W39" s="21">
        <v>359.19069767441852</v>
      </c>
      <c r="X39" s="22"/>
      <c r="Y39" s="22"/>
    </row>
    <row r="40" spans="1:25" ht="13.5" customHeight="1" x14ac:dyDescent="0.2">
      <c r="A40" s="13" t="s">
        <v>25</v>
      </c>
      <c r="B40" s="14">
        <v>21167</v>
      </c>
      <c r="C40" s="15">
        <v>1026.0258822695719</v>
      </c>
      <c r="D40" s="16">
        <v>3984</v>
      </c>
      <c r="E40" s="17">
        <v>904.67966365461882</v>
      </c>
      <c r="F40" s="16">
        <v>17183</v>
      </c>
      <c r="G40" s="17">
        <v>1054.1608607344483</v>
      </c>
      <c r="H40" s="10"/>
      <c r="I40" s="10"/>
      <c r="J40" s="14">
        <v>13951</v>
      </c>
      <c r="K40" s="15">
        <v>614.7841652928123</v>
      </c>
      <c r="L40" s="16">
        <v>8170</v>
      </c>
      <c r="M40" s="17">
        <v>616.68345532436081</v>
      </c>
      <c r="N40" s="16">
        <v>5781</v>
      </c>
      <c r="O40" s="17">
        <v>612.09999308078125</v>
      </c>
      <c r="P40" s="17"/>
      <c r="Q40" s="17"/>
      <c r="R40" s="18">
        <v>909</v>
      </c>
      <c r="S40" s="19">
        <v>691.85632563256456</v>
      </c>
      <c r="T40" s="20">
        <v>422</v>
      </c>
      <c r="U40" s="21">
        <v>712.27137440758406</v>
      </c>
      <c r="V40" s="20">
        <v>487</v>
      </c>
      <c r="W40" s="21">
        <v>674.16607802874887</v>
      </c>
      <c r="X40" s="22"/>
      <c r="Y40" s="22"/>
    </row>
    <row r="41" spans="1:25" ht="13.5" customHeight="1" x14ac:dyDescent="0.2">
      <c r="A41" s="13" t="s">
        <v>26</v>
      </c>
      <c r="B41" s="14">
        <v>42304</v>
      </c>
      <c r="C41" s="15">
        <v>998.7196593702721</v>
      </c>
      <c r="D41" s="16">
        <v>7819</v>
      </c>
      <c r="E41" s="17">
        <v>898.49175853689633</v>
      </c>
      <c r="F41" s="16">
        <v>34485</v>
      </c>
      <c r="G41" s="17">
        <v>1021.444958967667</v>
      </c>
      <c r="H41" s="10"/>
      <c r="I41" s="10"/>
      <c r="J41" s="14">
        <v>20676</v>
      </c>
      <c r="K41" s="15">
        <v>695.61101953956495</v>
      </c>
      <c r="L41" s="16">
        <v>12178</v>
      </c>
      <c r="M41" s="17">
        <v>691.8551420594531</v>
      </c>
      <c r="N41" s="16">
        <v>8498</v>
      </c>
      <c r="O41" s="17">
        <v>700.99335373029237</v>
      </c>
      <c r="P41" s="17"/>
      <c r="Q41" s="17"/>
      <c r="R41" s="18">
        <v>4012</v>
      </c>
      <c r="S41" s="19">
        <v>760.61003240279001</v>
      </c>
      <c r="T41" s="20">
        <v>1988</v>
      </c>
      <c r="U41" s="21">
        <v>743.80995975854955</v>
      </c>
      <c r="V41" s="20">
        <v>2024</v>
      </c>
      <c r="W41" s="21">
        <v>777.11128952569027</v>
      </c>
      <c r="X41" s="22"/>
      <c r="Y41" s="22"/>
    </row>
    <row r="42" spans="1:25" ht="13.5" customHeight="1" x14ac:dyDescent="0.2">
      <c r="A42" s="13" t="s">
        <v>27</v>
      </c>
      <c r="B42" s="14">
        <v>81265</v>
      </c>
      <c r="C42" s="15">
        <v>959.13909542853526</v>
      </c>
      <c r="D42" s="16">
        <v>13372</v>
      </c>
      <c r="E42" s="17">
        <v>850.53544122045855</v>
      </c>
      <c r="F42" s="16">
        <v>67893</v>
      </c>
      <c r="G42" s="17">
        <v>980.52934278938835</v>
      </c>
      <c r="H42" s="10"/>
      <c r="I42" s="10"/>
      <c r="J42" s="14">
        <v>24860</v>
      </c>
      <c r="K42" s="15">
        <v>780.43315607401723</v>
      </c>
      <c r="L42" s="16">
        <v>14457</v>
      </c>
      <c r="M42" s="17">
        <v>778.27403749049142</v>
      </c>
      <c r="N42" s="16">
        <v>10402</v>
      </c>
      <c r="O42" s="17">
        <v>783.46305710440606</v>
      </c>
      <c r="P42" s="17"/>
      <c r="Q42" s="17"/>
      <c r="R42" s="18">
        <v>8635</v>
      </c>
      <c r="S42" s="19">
        <v>809.5298934568608</v>
      </c>
      <c r="T42" s="20">
        <v>4034</v>
      </c>
      <c r="U42" s="21">
        <v>797.27986365889876</v>
      </c>
      <c r="V42" s="20">
        <v>4601</v>
      </c>
      <c r="W42" s="21">
        <v>820.27030210823636</v>
      </c>
      <c r="X42" s="22"/>
      <c r="Y42" s="22"/>
    </row>
    <row r="43" spans="1:25" ht="13.5" customHeight="1" x14ac:dyDescent="0.2">
      <c r="A43" s="13" t="s">
        <v>28</v>
      </c>
      <c r="B43" s="14">
        <v>137145</v>
      </c>
      <c r="C43" s="15">
        <v>979.86513602391381</v>
      </c>
      <c r="D43" s="16">
        <v>20530</v>
      </c>
      <c r="E43" s="17">
        <v>833.29899512907889</v>
      </c>
      <c r="F43" s="16">
        <v>116615</v>
      </c>
      <c r="G43" s="17">
        <v>1005.6680162071746</v>
      </c>
      <c r="H43" s="10">
        <f>(E43-G43)/E43</f>
        <v>-0.2068513487783524</v>
      </c>
      <c r="I43" s="10">
        <f>F43/B43</f>
        <v>0.85030442232673453</v>
      </c>
      <c r="J43" s="14">
        <v>24476</v>
      </c>
      <c r="K43" s="15">
        <v>837.90775576074748</v>
      </c>
      <c r="L43" s="16">
        <v>13995</v>
      </c>
      <c r="M43" s="17">
        <v>832.21811218292453</v>
      </c>
      <c r="N43" s="16">
        <v>10481</v>
      </c>
      <c r="O43" s="17">
        <v>845.50498521133761</v>
      </c>
      <c r="P43" s="10">
        <f>(M43-O43)/M43</f>
        <v>-1.5965613862406039E-2</v>
      </c>
      <c r="Q43" s="10">
        <f>N43/J43</f>
        <v>0.42821539467233211</v>
      </c>
      <c r="R43" s="18">
        <v>10511</v>
      </c>
      <c r="S43" s="19">
        <v>824.63406811911398</v>
      </c>
      <c r="T43" s="20">
        <v>4593</v>
      </c>
      <c r="U43" s="21">
        <v>791.59310254735317</v>
      </c>
      <c r="V43" s="20">
        <v>5918</v>
      </c>
      <c r="W43" s="21">
        <v>850.27738594119865</v>
      </c>
      <c r="X43" s="24">
        <f>(U43-W43)/U43</f>
        <v>-7.4134404664465831E-2</v>
      </c>
      <c r="Y43" s="24">
        <f>V43/R43</f>
        <v>0.56302920749690799</v>
      </c>
    </row>
    <row r="44" spans="1:25" ht="13.5" customHeight="1" x14ac:dyDescent="0.2">
      <c r="A44" s="13" t="s">
        <v>29</v>
      </c>
      <c r="B44" s="14">
        <v>205641</v>
      </c>
      <c r="C44" s="15">
        <v>987.82967482165202</v>
      </c>
      <c r="D44" s="16">
        <v>27496</v>
      </c>
      <c r="E44" s="17">
        <v>751.27270912132701</v>
      </c>
      <c r="F44" s="16">
        <v>178144</v>
      </c>
      <c r="G44" s="17">
        <v>1024.3408513337488</v>
      </c>
      <c r="H44" s="10">
        <f t="shared" ref="H44:H47" si="6">(E44-G44)/E44</f>
        <v>-0.36347406061348431</v>
      </c>
      <c r="I44" s="10">
        <f t="shared" ref="I44:I47" si="7">F44/B44</f>
        <v>0.86628639230503646</v>
      </c>
      <c r="J44" s="14">
        <v>18723</v>
      </c>
      <c r="K44" s="15">
        <v>863.36985953105955</v>
      </c>
      <c r="L44" s="16">
        <v>10028</v>
      </c>
      <c r="M44" s="17">
        <v>857.20248903071513</v>
      </c>
      <c r="N44" s="16">
        <v>8695</v>
      </c>
      <c r="O44" s="17">
        <v>870.48272800460234</v>
      </c>
      <c r="P44" s="10">
        <f t="shared" ref="P44:P48" si="8">(M44-O44)/M44</f>
        <v>-1.5492534312288204E-2</v>
      </c>
      <c r="Q44" s="10">
        <f t="shared" ref="Q44:Q48" si="9">N44/J44</f>
        <v>0.46440207231747049</v>
      </c>
      <c r="R44" s="18">
        <v>7082</v>
      </c>
      <c r="S44" s="19">
        <v>907.53188082462691</v>
      </c>
      <c r="T44" s="20">
        <v>2485</v>
      </c>
      <c r="U44" s="21">
        <v>876.99854325955505</v>
      </c>
      <c r="V44" s="20">
        <v>4597</v>
      </c>
      <c r="W44" s="21">
        <v>924.03728518599382</v>
      </c>
      <c r="X44" s="24">
        <f t="shared" ref="X44:X47" si="10">(U44-W44)/U44</f>
        <v>-5.363605480074015E-2</v>
      </c>
      <c r="Y44" s="24">
        <f t="shared" ref="Y44:Y47" si="11">V44/R44</f>
        <v>0.64911042078508896</v>
      </c>
    </row>
    <row r="45" spans="1:25" ht="13.5" customHeight="1" x14ac:dyDescent="0.2">
      <c r="A45" s="13" t="s">
        <v>30</v>
      </c>
      <c r="B45" s="14">
        <v>269287</v>
      </c>
      <c r="C45" s="15">
        <v>987.97143066690853</v>
      </c>
      <c r="D45" s="16">
        <v>30840</v>
      </c>
      <c r="E45" s="17">
        <v>679.29996368352693</v>
      </c>
      <c r="F45" s="16">
        <v>238447</v>
      </c>
      <c r="G45" s="17">
        <v>1027.8940467693023</v>
      </c>
      <c r="H45" s="10">
        <f t="shared" si="6"/>
        <v>-0.5131666446668306</v>
      </c>
      <c r="I45" s="10">
        <f t="shared" si="7"/>
        <v>0.88547534786306059</v>
      </c>
      <c r="J45" s="14">
        <v>12243</v>
      </c>
      <c r="K45" s="15">
        <v>861.02589152985627</v>
      </c>
      <c r="L45" s="16">
        <v>6082</v>
      </c>
      <c r="M45" s="17">
        <v>851.30962347912089</v>
      </c>
      <c r="N45" s="16">
        <v>6161</v>
      </c>
      <c r="O45" s="17">
        <v>870.6175718227588</v>
      </c>
      <c r="P45" s="10">
        <f t="shared" si="8"/>
        <v>-2.2680289064195527E-2</v>
      </c>
      <c r="Q45" s="10">
        <f t="shared" si="9"/>
        <v>0.50322633341501266</v>
      </c>
      <c r="R45" s="18">
        <v>4815</v>
      </c>
      <c r="S45" s="19">
        <v>891.61407476635793</v>
      </c>
      <c r="T45" s="20">
        <v>1298</v>
      </c>
      <c r="U45" s="21">
        <v>852.25693374421917</v>
      </c>
      <c r="V45" s="20">
        <v>3517</v>
      </c>
      <c r="W45" s="21">
        <v>906.13940005687152</v>
      </c>
      <c r="X45" s="24">
        <f t="shared" si="10"/>
        <v>-6.3223265401820314E-2</v>
      </c>
      <c r="Y45" s="24">
        <f t="shared" si="11"/>
        <v>0.73042575285565936</v>
      </c>
    </row>
    <row r="46" spans="1:25" ht="13.5" customHeight="1" x14ac:dyDescent="0.2">
      <c r="A46" s="13" t="s">
        <v>31</v>
      </c>
      <c r="B46" s="14">
        <v>361531</v>
      </c>
      <c r="C46" s="15">
        <v>1004.1797872105039</v>
      </c>
      <c r="D46" s="16">
        <v>31899</v>
      </c>
      <c r="E46" s="17">
        <v>616.24543183171886</v>
      </c>
      <c r="F46" s="16">
        <v>329632</v>
      </c>
      <c r="G46" s="17">
        <v>1041.7207965852849</v>
      </c>
      <c r="H46" s="10">
        <f t="shared" si="6"/>
        <v>-0.69043167344687539</v>
      </c>
      <c r="I46" s="10">
        <f t="shared" si="7"/>
        <v>0.91176690242330538</v>
      </c>
      <c r="J46" s="14">
        <v>7368</v>
      </c>
      <c r="K46" s="15">
        <v>838.12079397393779</v>
      </c>
      <c r="L46" s="16">
        <v>3168</v>
      </c>
      <c r="M46" s="17">
        <v>828.89319760100636</v>
      </c>
      <c r="N46" s="16">
        <v>4200</v>
      </c>
      <c r="O46" s="17">
        <v>845.0810380952347</v>
      </c>
      <c r="P46" s="10">
        <f t="shared" si="8"/>
        <v>-1.9529464762262982E-2</v>
      </c>
      <c r="Q46" s="10">
        <f t="shared" si="9"/>
        <v>0.57003257328990231</v>
      </c>
      <c r="R46" s="18">
        <v>3806</v>
      </c>
      <c r="S46" s="19">
        <v>828.77617183394625</v>
      </c>
      <c r="T46" s="20">
        <v>741</v>
      </c>
      <c r="U46" s="21">
        <v>793.24137651821991</v>
      </c>
      <c r="V46" s="20">
        <v>3065</v>
      </c>
      <c r="W46" s="21">
        <v>837.36712887438784</v>
      </c>
      <c r="X46" s="24">
        <f t="shared" si="10"/>
        <v>-5.5627144098117295E-2</v>
      </c>
      <c r="Y46" s="24">
        <f t="shared" si="11"/>
        <v>0.80530740935365208</v>
      </c>
    </row>
    <row r="47" spans="1:25" ht="13.5" customHeight="1" x14ac:dyDescent="0.2">
      <c r="A47" s="13" t="s">
        <v>32</v>
      </c>
      <c r="B47" s="14">
        <v>425392</v>
      </c>
      <c r="C47" s="15">
        <v>985.71484470794371</v>
      </c>
      <c r="D47" s="16">
        <v>30254</v>
      </c>
      <c r="E47" s="17">
        <v>565.14909499570524</v>
      </c>
      <c r="F47" s="16">
        <v>395137</v>
      </c>
      <c r="G47" s="17">
        <v>1017.9162552228757</v>
      </c>
      <c r="H47" s="10">
        <f t="shared" si="6"/>
        <v>-0.80114639523683784</v>
      </c>
      <c r="I47" s="10">
        <f t="shared" si="7"/>
        <v>0.92887736487757178</v>
      </c>
      <c r="J47" s="14">
        <v>3962</v>
      </c>
      <c r="K47" s="15">
        <v>811.40167339727236</v>
      </c>
      <c r="L47" s="16">
        <v>1464</v>
      </c>
      <c r="M47" s="17">
        <v>810.85239071038313</v>
      </c>
      <c r="N47" s="16">
        <v>2498</v>
      </c>
      <c r="O47" s="17">
        <v>811.72359087269513</v>
      </c>
      <c r="P47" s="10">
        <f t="shared" si="8"/>
        <v>-1.0744251016498079E-3</v>
      </c>
      <c r="Q47" s="10">
        <f t="shared" si="9"/>
        <v>0.63048965169106508</v>
      </c>
      <c r="R47" s="18">
        <v>2803</v>
      </c>
      <c r="S47" s="19">
        <v>799.80658936852842</v>
      </c>
      <c r="T47" s="20">
        <v>373</v>
      </c>
      <c r="U47" s="21">
        <v>748.28375335120825</v>
      </c>
      <c r="V47" s="20">
        <v>2430</v>
      </c>
      <c r="W47" s="21">
        <v>807.71523868312124</v>
      </c>
      <c r="X47" s="24">
        <f t="shared" si="10"/>
        <v>-7.9423728052022441E-2</v>
      </c>
      <c r="Y47" s="24">
        <f t="shared" si="11"/>
        <v>0.8669282911166607</v>
      </c>
    </row>
    <row r="48" spans="1:25" ht="13.5" customHeight="1" x14ac:dyDescent="0.2">
      <c r="A48" s="13" t="s">
        <v>33</v>
      </c>
      <c r="B48" s="14">
        <v>786772</v>
      </c>
      <c r="C48" s="15">
        <v>941.98133310541516</v>
      </c>
      <c r="D48" s="16">
        <v>48879</v>
      </c>
      <c r="E48" s="17">
        <v>524.58220565069166</v>
      </c>
      <c r="F48" s="16">
        <v>737887</v>
      </c>
      <c r="G48" s="17">
        <v>969.63038446268001</v>
      </c>
      <c r="H48" s="17"/>
      <c r="I48" s="17"/>
      <c r="J48" s="14">
        <v>2427</v>
      </c>
      <c r="K48" s="15">
        <v>841.10358879274486</v>
      </c>
      <c r="L48" s="16">
        <v>659</v>
      </c>
      <c r="M48" s="17">
        <v>838.44191198786336</v>
      </c>
      <c r="N48" s="16">
        <v>1768</v>
      </c>
      <c r="O48" s="17">
        <v>842.09569570135159</v>
      </c>
      <c r="P48" s="10">
        <f t="shared" si="8"/>
        <v>-4.3578257017536986E-3</v>
      </c>
      <c r="Q48" s="10">
        <f t="shared" si="9"/>
        <v>0.72847136382365063</v>
      </c>
      <c r="R48" s="18">
        <v>3643</v>
      </c>
      <c r="S48" s="19">
        <v>760.76391161130823</v>
      </c>
      <c r="T48" s="20">
        <v>294</v>
      </c>
      <c r="U48" s="21">
        <v>656.5409183673471</v>
      </c>
      <c r="V48" s="20">
        <v>3349</v>
      </c>
      <c r="W48" s="21">
        <v>769.91337712749942</v>
      </c>
      <c r="X48" s="22"/>
      <c r="Y48" s="22"/>
    </row>
    <row r="49" spans="1:25" ht="13.5" customHeight="1" x14ac:dyDescent="0.2">
      <c r="A49" s="13" t="s">
        <v>34</v>
      </c>
      <c r="B49" s="14">
        <v>1</v>
      </c>
      <c r="C49" s="15">
        <v>1101.3699999999999</v>
      </c>
      <c r="D49" s="16" t="s">
        <v>16</v>
      </c>
      <c r="E49" s="17" t="s">
        <v>16</v>
      </c>
      <c r="F49" s="16">
        <v>1</v>
      </c>
      <c r="G49" s="17">
        <v>1101.3699999999999</v>
      </c>
      <c r="H49" s="17"/>
      <c r="I49" s="17"/>
      <c r="J49" s="14" t="s">
        <v>16</v>
      </c>
      <c r="K49" s="15" t="s">
        <v>16</v>
      </c>
      <c r="L49" s="16" t="s">
        <v>16</v>
      </c>
      <c r="M49" s="17" t="s">
        <v>16</v>
      </c>
      <c r="N49" s="16" t="s">
        <v>16</v>
      </c>
      <c r="O49" s="17" t="s">
        <v>16</v>
      </c>
      <c r="P49" s="17"/>
      <c r="Q49" s="17"/>
      <c r="R49" s="18" t="s">
        <v>16</v>
      </c>
      <c r="S49" s="19" t="s">
        <v>16</v>
      </c>
      <c r="T49" s="20" t="s">
        <v>16</v>
      </c>
      <c r="U49" s="21" t="s">
        <v>16</v>
      </c>
      <c r="V49" s="20" t="s">
        <v>16</v>
      </c>
      <c r="W49" s="21" t="s">
        <v>16</v>
      </c>
      <c r="X49" s="22"/>
      <c r="Y49" s="22"/>
    </row>
    <row r="50" spans="1:25" s="39" customFormat="1" ht="24" customHeight="1" x14ac:dyDescent="0.2">
      <c r="A50" s="45" t="s">
        <v>35</v>
      </c>
      <c r="B50" s="46">
        <v>78.414630076467617</v>
      </c>
      <c r="C50" s="47" t="s">
        <v>36</v>
      </c>
      <c r="D50" s="48">
        <v>74.248047234810798</v>
      </c>
      <c r="E50" s="49" t="s">
        <v>36</v>
      </c>
      <c r="F50" s="48">
        <v>78.840122046321909</v>
      </c>
      <c r="G50" s="49" t="s">
        <v>36</v>
      </c>
      <c r="H50" s="49"/>
      <c r="I50" s="49"/>
      <c r="J50" s="46">
        <v>35.827843077756057</v>
      </c>
      <c r="K50" s="47" t="s">
        <v>36</v>
      </c>
      <c r="L50" s="50">
        <v>36.185104127095727</v>
      </c>
      <c r="M50" s="51" t="s">
        <v>36</v>
      </c>
      <c r="N50" s="50">
        <v>35.434927669589932</v>
      </c>
      <c r="O50" s="51" t="s">
        <v>36</v>
      </c>
      <c r="P50" s="51"/>
      <c r="Q50" s="51"/>
      <c r="R50" s="33">
        <v>66.025337837837839</v>
      </c>
      <c r="S50" s="34" t="s">
        <v>36</v>
      </c>
      <c r="T50" s="35">
        <v>61.891521725956004</v>
      </c>
      <c r="U50" s="36" t="s">
        <v>36</v>
      </c>
      <c r="V50" s="35">
        <v>68.279016750916838</v>
      </c>
      <c r="W50" s="36" t="s">
        <v>36</v>
      </c>
      <c r="X50" s="52"/>
      <c r="Y50" s="52"/>
    </row>
    <row r="51" spans="1:25" ht="12.75" x14ac:dyDescent="0.2">
      <c r="A51" s="147" t="s">
        <v>40</v>
      </c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8"/>
      <c r="S51" s="148"/>
      <c r="T51" s="148"/>
      <c r="U51" s="148"/>
      <c r="V51" s="148"/>
      <c r="W51" s="148"/>
    </row>
    <row r="53" spans="1:25" x14ac:dyDescent="0.2">
      <c r="T53" s="57"/>
    </row>
    <row r="62" spans="1:25" x14ac:dyDescent="0.2">
      <c r="A62" s="1"/>
      <c r="B62" s="5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</sheetData>
  <mergeCells count="35">
    <mergeCell ref="V28:W28"/>
    <mergeCell ref="X28:Y28"/>
    <mergeCell ref="A51:W51"/>
    <mergeCell ref="J28:K28"/>
    <mergeCell ref="L28:M28"/>
    <mergeCell ref="N28:O28"/>
    <mergeCell ref="P28:Q28"/>
    <mergeCell ref="R28:S28"/>
    <mergeCell ref="T28:U28"/>
    <mergeCell ref="A27:A29"/>
    <mergeCell ref="B27:I27"/>
    <mergeCell ref="J27:Q27"/>
    <mergeCell ref="R27:Y27"/>
    <mergeCell ref="B28:C28"/>
    <mergeCell ref="A1:W1"/>
    <mergeCell ref="A2:W2"/>
    <mergeCell ref="A3:A5"/>
    <mergeCell ref="B3:I3"/>
    <mergeCell ref="J3:Q3"/>
    <mergeCell ref="R3:Y3"/>
    <mergeCell ref="B4:C4"/>
    <mergeCell ref="D4:E4"/>
    <mergeCell ref="F4:G4"/>
    <mergeCell ref="H4:I4"/>
    <mergeCell ref="V4:W4"/>
    <mergeCell ref="X4:Y4"/>
    <mergeCell ref="J4:K4"/>
    <mergeCell ref="R4:S4"/>
    <mergeCell ref="T4:U4"/>
    <mergeCell ref="L4:M4"/>
    <mergeCell ref="N4:O4"/>
    <mergeCell ref="P4:Q4"/>
    <mergeCell ref="D28:E28"/>
    <mergeCell ref="F28:G28"/>
    <mergeCell ref="H28:I28"/>
  </mergeCells>
  <printOptions horizontalCentered="1"/>
  <pageMargins left="0.39370078740157483" right="0.39370078740157483" top="0.39370078740157483" bottom="0.39370078740157483" header="0" footer="0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49EB-B9CE-44DD-A9D0-0AAD4F7A6732}">
  <sheetPr>
    <pageSetUpPr fitToPage="1"/>
  </sheetPr>
  <dimension ref="A1:O55"/>
  <sheetViews>
    <sheetView topLeftCell="A2" zoomScaleNormal="100" zoomScaleSheetLayoutView="100" workbookViewId="0">
      <selection activeCell="E6" sqref="E6"/>
    </sheetView>
  </sheetViews>
  <sheetFormatPr baseColWidth="10" defaultColWidth="14.85546875" defaultRowHeight="15.75" x14ac:dyDescent="0.25"/>
  <cols>
    <col min="1" max="1" width="33.42578125" style="102" customWidth="1"/>
    <col min="2" max="4" width="21.42578125" style="102" customWidth="1"/>
    <col min="5" max="7" width="13.140625" style="60" customWidth="1"/>
    <col min="8" max="8" width="13.140625" style="62" customWidth="1"/>
    <col min="9" max="9" width="13.140625" style="68" customWidth="1"/>
    <col min="10" max="14" width="14.85546875" style="62" customWidth="1"/>
    <col min="16" max="16384" width="14.85546875" style="62"/>
  </cols>
  <sheetData>
    <row r="1" spans="1:9" ht="44.45" customHeight="1" x14ac:dyDescent="0.25">
      <c r="A1" s="160" t="s">
        <v>41</v>
      </c>
      <c r="B1" s="160"/>
      <c r="C1" s="160"/>
      <c r="D1" s="160"/>
      <c r="E1" s="59"/>
      <c r="G1" s="61"/>
      <c r="H1" s="61"/>
      <c r="I1" s="61"/>
    </row>
    <row r="2" spans="1:9" ht="6" customHeight="1" x14ac:dyDescent="0.25">
      <c r="A2" s="63"/>
      <c r="B2" s="63"/>
      <c r="C2" s="63"/>
      <c r="D2" s="63"/>
      <c r="E2" s="59"/>
      <c r="G2" s="61"/>
      <c r="H2" s="61"/>
      <c r="I2" s="61"/>
    </row>
    <row r="3" spans="1:9" ht="19.5" customHeight="1" x14ac:dyDescent="0.25">
      <c r="A3" s="64"/>
      <c r="B3" s="65" t="s">
        <v>42</v>
      </c>
      <c r="C3" s="66" t="s">
        <v>43</v>
      </c>
      <c r="D3" s="66" t="s">
        <v>44</v>
      </c>
      <c r="E3" s="66" t="s">
        <v>9</v>
      </c>
      <c r="G3" s="67"/>
    </row>
    <row r="4" spans="1:9" ht="5.25" customHeight="1" x14ac:dyDescent="0.25">
      <c r="A4" s="69"/>
      <c r="B4" s="70"/>
      <c r="C4" s="70"/>
      <c r="D4" s="70"/>
      <c r="E4" s="67"/>
      <c r="G4" s="67"/>
    </row>
    <row r="5" spans="1:9" ht="16.5" customHeight="1" x14ac:dyDescent="0.25">
      <c r="A5" s="71" t="s">
        <v>45</v>
      </c>
      <c r="B5" s="72">
        <v>9476277</v>
      </c>
      <c r="C5" s="73">
        <v>4705734</v>
      </c>
      <c r="D5" s="73">
        <v>4770500</v>
      </c>
      <c r="E5" s="67">
        <f>C5/B5</f>
        <v>0.49658046087086732</v>
      </c>
      <c r="G5"/>
      <c r="H5"/>
    </row>
    <row r="6" spans="1:9" ht="16.5" customHeight="1" x14ac:dyDescent="0.25">
      <c r="A6" s="74" t="s">
        <v>46</v>
      </c>
      <c r="B6" s="75">
        <v>1512.8552274801598</v>
      </c>
      <c r="C6" s="76">
        <v>1331.0211274967958</v>
      </c>
      <c r="D6" s="76">
        <v>1692.2269256451107</v>
      </c>
      <c r="E6" s="121">
        <f>(D6-C6)/D6</f>
        <v>0.21344997687624906</v>
      </c>
      <c r="G6"/>
      <c r="H6"/>
    </row>
    <row r="7" spans="1:9" ht="16.5" customHeight="1" x14ac:dyDescent="0.25">
      <c r="A7" s="77" t="s">
        <v>35</v>
      </c>
      <c r="B7" s="78">
        <v>72.086271011284282</v>
      </c>
      <c r="C7" s="79">
        <v>73.25363652089132</v>
      </c>
      <c r="D7" s="80">
        <v>70.934846871397127</v>
      </c>
      <c r="E7" s="67"/>
      <c r="G7"/>
      <c r="H7"/>
    </row>
    <row r="8" spans="1:9" ht="16.5" customHeight="1" x14ac:dyDescent="0.25">
      <c r="A8" s="81" t="s">
        <v>47</v>
      </c>
      <c r="B8" s="82">
        <v>10476332</v>
      </c>
      <c r="C8" s="83">
        <v>5530030</v>
      </c>
      <c r="D8" s="83">
        <v>4946258</v>
      </c>
      <c r="E8" s="84"/>
    </row>
    <row r="9" spans="1:9" ht="16.5" customHeight="1" x14ac:dyDescent="0.25">
      <c r="A9" s="85" t="s">
        <v>48</v>
      </c>
      <c r="B9" s="86">
        <v>1.1055324786305845</v>
      </c>
      <c r="C9" s="87">
        <v>1.1751684221845093</v>
      </c>
      <c r="D9" s="87">
        <v>1.0368426789644691</v>
      </c>
    </row>
    <row r="10" spans="1:9" ht="6" customHeight="1" x14ac:dyDescent="0.25">
      <c r="A10" s="88"/>
      <c r="B10" s="88"/>
      <c r="C10" s="88"/>
      <c r="D10" s="89"/>
    </row>
    <row r="11" spans="1:9" ht="20.100000000000001" customHeight="1" x14ac:dyDescent="0.25">
      <c r="A11" s="157" t="s">
        <v>49</v>
      </c>
      <c r="B11" s="157"/>
      <c r="C11" s="157"/>
      <c r="D11" s="157"/>
      <c r="E11" s="67"/>
      <c r="G11" s="67"/>
    </row>
    <row r="12" spans="1:9" ht="16.5" customHeight="1" x14ac:dyDescent="0.25">
      <c r="A12" s="90" t="s">
        <v>50</v>
      </c>
      <c r="B12" s="82">
        <v>1057376</v>
      </c>
      <c r="C12" s="83">
        <v>408840</v>
      </c>
      <c r="D12" s="83">
        <v>648536</v>
      </c>
      <c r="E12" s="84"/>
      <c r="G12" s="67"/>
    </row>
    <row r="13" spans="1:9" ht="16.5" customHeight="1" x14ac:dyDescent="0.25">
      <c r="A13" s="91" t="s">
        <v>51</v>
      </c>
      <c r="B13" s="92">
        <v>6582550</v>
      </c>
      <c r="C13" s="93">
        <v>2707180</v>
      </c>
      <c r="D13" s="93">
        <v>3875351</v>
      </c>
      <c r="E13" s="84"/>
      <c r="G13" s="67"/>
    </row>
    <row r="14" spans="1:9" ht="16.5" customHeight="1" x14ac:dyDescent="0.25">
      <c r="A14" s="91" t="s">
        <v>52</v>
      </c>
      <c r="B14" s="92">
        <v>1472325</v>
      </c>
      <c r="C14" s="93">
        <v>1408422</v>
      </c>
      <c r="D14" s="93">
        <v>63896</v>
      </c>
      <c r="E14" s="84"/>
      <c r="G14" s="67"/>
    </row>
    <row r="15" spans="1:9" ht="16.5" customHeight="1" x14ac:dyDescent="0.25">
      <c r="A15" s="91" t="s">
        <v>53</v>
      </c>
      <c r="B15" s="92">
        <v>317732</v>
      </c>
      <c r="C15" s="93">
        <v>151433</v>
      </c>
      <c r="D15" s="93">
        <v>166282</v>
      </c>
      <c r="E15" s="84"/>
      <c r="G15" s="67"/>
    </row>
    <row r="16" spans="1:9" ht="16.5" customHeight="1" x14ac:dyDescent="0.25">
      <c r="A16" s="94" t="s">
        <v>54</v>
      </c>
      <c r="B16" s="95">
        <v>46294</v>
      </c>
      <c r="C16" s="96">
        <v>29859</v>
      </c>
      <c r="D16" s="96">
        <v>16435</v>
      </c>
      <c r="E16" s="84"/>
      <c r="G16" s="67"/>
    </row>
    <row r="17" spans="1:12" ht="6" customHeight="1" x14ac:dyDescent="0.25">
      <c r="A17" s="88"/>
      <c r="B17" s="88" t="s">
        <v>55</v>
      </c>
      <c r="C17" s="88"/>
      <c r="D17" s="88" t="s">
        <v>55</v>
      </c>
    </row>
    <row r="18" spans="1:12" ht="20.100000000000001" customHeight="1" x14ac:dyDescent="0.25">
      <c r="A18" s="157" t="s">
        <v>56</v>
      </c>
      <c r="B18" s="157"/>
      <c r="C18" s="157"/>
      <c r="D18" s="157"/>
      <c r="E18" s="67"/>
      <c r="G18" s="67"/>
    </row>
    <row r="19" spans="1:12" ht="16.5" customHeight="1" x14ac:dyDescent="0.25">
      <c r="A19" s="71" t="s">
        <v>10</v>
      </c>
      <c r="B19" s="72">
        <v>2110809</v>
      </c>
      <c r="C19" s="73">
        <v>1431066</v>
      </c>
      <c r="D19" s="73">
        <v>679724</v>
      </c>
      <c r="E19" s="84"/>
    </row>
    <row r="20" spans="1:12" ht="16.5" customHeight="1" x14ac:dyDescent="0.25">
      <c r="A20" s="97" t="s">
        <v>57</v>
      </c>
      <c r="B20" s="98">
        <v>0.2227466546197415</v>
      </c>
      <c r="C20" s="99">
        <v>0.30411111210280906</v>
      </c>
      <c r="D20" s="99">
        <v>0.14248485483701917</v>
      </c>
    </row>
    <row r="21" spans="1:12" ht="6" customHeight="1" x14ac:dyDescent="0.25">
      <c r="A21" s="70"/>
      <c r="B21" s="89"/>
      <c r="C21" s="89"/>
      <c r="D21" s="89"/>
    </row>
    <row r="22" spans="1:12" ht="20.100000000000001" customHeight="1" x14ac:dyDescent="0.25">
      <c r="A22" s="157" t="s">
        <v>58</v>
      </c>
      <c r="B22" s="157"/>
      <c r="C22" s="157"/>
      <c r="D22" s="157"/>
    </row>
    <row r="23" spans="1:12" ht="16.5" customHeight="1" x14ac:dyDescent="0.25">
      <c r="A23" s="71" t="s">
        <v>10</v>
      </c>
      <c r="B23" s="72">
        <v>994794</v>
      </c>
      <c r="C23" s="73">
        <v>819975</v>
      </c>
      <c r="D23" s="73">
        <v>174818</v>
      </c>
      <c r="E23" s="84"/>
    </row>
    <row r="24" spans="1:12" ht="16.5" customHeight="1" x14ac:dyDescent="0.25">
      <c r="A24" s="97" t="s">
        <v>57</v>
      </c>
      <c r="B24" s="98">
        <v>0.10497730279518</v>
      </c>
      <c r="C24" s="99">
        <v>0.17425018073694773</v>
      </c>
      <c r="D24" s="99">
        <v>3.6645634629493766E-2</v>
      </c>
    </row>
    <row r="25" spans="1:12" ht="5.25" customHeight="1" x14ac:dyDescent="0.25">
      <c r="A25" s="70"/>
      <c r="B25" s="100"/>
      <c r="C25" s="100"/>
      <c r="D25" s="89"/>
    </row>
    <row r="26" spans="1:12" s="102" customFormat="1" ht="11.25" customHeight="1" x14ac:dyDescent="0.25">
      <c r="A26" s="101"/>
      <c r="B26" s="88"/>
      <c r="C26" s="88"/>
      <c r="D26" s="89"/>
      <c r="E26" s="60"/>
      <c r="G26" s="60"/>
      <c r="H26" s="62"/>
      <c r="I26" s="68"/>
      <c r="J26" s="62"/>
      <c r="K26" s="62"/>
      <c r="L26" s="62"/>
    </row>
    <row r="27" spans="1:12" s="102" customFormat="1" ht="20.100000000000001" customHeight="1" x14ac:dyDescent="0.25">
      <c r="A27" s="160" t="s">
        <v>59</v>
      </c>
      <c r="B27" s="160"/>
      <c r="C27" s="160"/>
      <c r="D27" s="160"/>
      <c r="E27" s="60"/>
      <c r="G27" s="60"/>
      <c r="H27" s="62"/>
      <c r="I27" s="68"/>
      <c r="J27" s="62"/>
      <c r="K27" s="62"/>
      <c r="L27" s="62"/>
    </row>
    <row r="28" spans="1:12" s="102" customFormat="1" ht="4.5" customHeight="1" x14ac:dyDescent="0.25">
      <c r="A28" s="103"/>
      <c r="B28" s="103"/>
      <c r="C28" s="103"/>
      <c r="D28" s="103"/>
      <c r="E28" s="60"/>
      <c r="G28" s="60"/>
      <c r="H28" s="62"/>
      <c r="I28" s="68"/>
      <c r="J28" s="62"/>
      <c r="K28" s="62"/>
      <c r="L28" s="62"/>
    </row>
    <row r="29" spans="1:12" s="102" customFormat="1" ht="19.5" customHeight="1" x14ac:dyDescent="0.25">
      <c r="A29" s="64"/>
      <c r="B29" s="65" t="s">
        <v>42</v>
      </c>
      <c r="C29" s="66" t="s">
        <v>43</v>
      </c>
      <c r="D29" s="66" t="s">
        <v>44</v>
      </c>
      <c r="E29" s="60"/>
      <c r="G29" s="60"/>
      <c r="H29" s="62"/>
      <c r="I29" s="68"/>
      <c r="J29" s="62"/>
      <c r="K29" s="62"/>
      <c r="L29" s="62"/>
    </row>
    <row r="30" spans="1:12" ht="6.75" customHeight="1" x14ac:dyDescent="0.25">
      <c r="A30" s="69"/>
      <c r="B30" s="104"/>
      <c r="C30" s="104"/>
      <c r="D30" s="104"/>
      <c r="E30" s="67"/>
      <c r="G30" s="67"/>
    </row>
    <row r="31" spans="1:12" ht="20.100000000000001" customHeight="1" x14ac:dyDescent="0.25">
      <c r="A31" s="157" t="s">
        <v>60</v>
      </c>
      <c r="B31" s="157"/>
      <c r="C31" s="157"/>
      <c r="D31" s="157"/>
      <c r="E31" s="67"/>
      <c r="G31" s="67"/>
    </row>
    <row r="32" spans="1:12" s="102" customFormat="1" ht="16.5" customHeight="1" x14ac:dyDescent="0.25">
      <c r="A32" s="105" t="s">
        <v>61</v>
      </c>
      <c r="B32" s="72">
        <v>43987</v>
      </c>
      <c r="C32" s="73">
        <v>22047</v>
      </c>
      <c r="D32" s="73">
        <v>21938</v>
      </c>
      <c r="E32" s="106"/>
      <c r="G32" s="60"/>
      <c r="H32" s="62"/>
      <c r="I32" s="68"/>
      <c r="J32" s="62"/>
      <c r="K32" s="62"/>
      <c r="L32" s="62"/>
    </row>
    <row r="33" spans="1:12" s="102" customFormat="1" ht="16.5" customHeight="1" x14ac:dyDescent="0.25">
      <c r="A33" s="107" t="s">
        <v>46</v>
      </c>
      <c r="B33" s="108">
        <v>1367.5216716302543</v>
      </c>
      <c r="C33" s="109">
        <v>1229.7284628294099</v>
      </c>
      <c r="D33" s="109">
        <v>1506.0955232929164</v>
      </c>
      <c r="E33" s="110"/>
      <c r="G33" s="60"/>
      <c r="H33" s="62"/>
      <c r="I33" s="68"/>
      <c r="J33" s="62"/>
      <c r="K33" s="62"/>
      <c r="L33" s="62"/>
    </row>
    <row r="34" spans="1:12" s="102" customFormat="1" ht="16.5" customHeight="1" x14ac:dyDescent="0.25">
      <c r="A34" s="107" t="s">
        <v>35</v>
      </c>
      <c r="B34" s="111">
        <v>61.564037986704768</v>
      </c>
      <c r="C34" s="112">
        <v>63.400129627944942</v>
      </c>
      <c r="D34" s="112">
        <v>59.72315377469134</v>
      </c>
      <c r="E34" s="106"/>
      <c r="G34" s="60"/>
      <c r="H34" s="62"/>
      <c r="I34" s="68"/>
      <c r="J34" s="62"/>
      <c r="K34" s="62"/>
      <c r="L34" s="62"/>
    </row>
    <row r="35" spans="1:12" s="102" customFormat="1" ht="16.5" customHeight="1" x14ac:dyDescent="0.25">
      <c r="A35" s="113" t="s">
        <v>62</v>
      </c>
      <c r="B35" s="98">
        <v>0.23481937845272466</v>
      </c>
      <c r="C35" s="114">
        <v>0.31337596951966251</v>
      </c>
      <c r="D35" s="114">
        <v>0.15589388276050689</v>
      </c>
      <c r="E35" s="106"/>
      <c r="G35" s="60"/>
      <c r="H35" s="62"/>
      <c r="I35" s="68"/>
      <c r="J35" s="62"/>
      <c r="K35" s="62"/>
      <c r="L35" s="62"/>
    </row>
    <row r="36" spans="1:12" s="102" customFormat="1" ht="6" customHeight="1" x14ac:dyDescent="0.25">
      <c r="A36" s="115"/>
      <c r="B36" s="88"/>
      <c r="C36" s="88"/>
      <c r="D36" s="88"/>
      <c r="G36" s="60"/>
      <c r="H36" s="62"/>
      <c r="I36" s="68"/>
      <c r="J36" s="62"/>
      <c r="K36" s="62"/>
      <c r="L36" s="62"/>
    </row>
    <row r="37" spans="1:12" s="102" customFormat="1" ht="20.100000000000001" customHeight="1" x14ac:dyDescent="0.25">
      <c r="A37" s="157" t="s">
        <v>63</v>
      </c>
      <c r="B37" s="157"/>
      <c r="C37" s="157"/>
      <c r="D37" s="157"/>
      <c r="E37" s="60"/>
      <c r="G37" s="60"/>
      <c r="H37" s="62"/>
      <c r="I37" s="68"/>
      <c r="J37" s="62"/>
      <c r="K37" s="62"/>
      <c r="L37" s="62"/>
    </row>
    <row r="38" spans="1:12" s="102" customFormat="1" ht="16.5" customHeight="1" x14ac:dyDescent="0.25">
      <c r="A38" s="105" t="s">
        <v>64</v>
      </c>
      <c r="B38" s="72">
        <v>32537</v>
      </c>
      <c r="C38" s="73">
        <v>15741</v>
      </c>
      <c r="D38" s="73">
        <v>16796</v>
      </c>
      <c r="E38" s="106"/>
      <c r="G38" s="60"/>
      <c r="H38" s="62"/>
      <c r="I38" s="68"/>
      <c r="J38" s="62"/>
      <c r="K38" s="62"/>
      <c r="L38" s="62"/>
    </row>
    <row r="39" spans="1:12" s="102" customFormat="1" ht="16.5" customHeight="1" x14ac:dyDescent="0.25">
      <c r="A39" s="107" t="s">
        <v>46</v>
      </c>
      <c r="B39" s="108">
        <v>1336.1359695116328</v>
      </c>
      <c r="C39" s="109">
        <v>1159.93308239629</v>
      </c>
      <c r="D39" s="109">
        <v>1501.2710996665874</v>
      </c>
      <c r="E39" s="110"/>
      <c r="G39" s="60"/>
      <c r="H39" s="62"/>
      <c r="I39" s="68"/>
      <c r="J39" s="62"/>
      <c r="K39" s="62"/>
      <c r="L39" s="62"/>
    </row>
    <row r="40" spans="1:12" s="102" customFormat="1" ht="16.5" customHeight="1" x14ac:dyDescent="0.25">
      <c r="A40" s="107" t="s">
        <v>35</v>
      </c>
      <c r="B40" s="111">
        <v>80.176194574215202</v>
      </c>
      <c r="C40" s="112">
        <v>82.919250153526988</v>
      </c>
      <c r="D40" s="112">
        <v>77.605284310806823</v>
      </c>
      <c r="E40" s="106"/>
      <c r="G40" s="60"/>
      <c r="H40" s="62"/>
      <c r="I40" s="68"/>
      <c r="J40" s="62"/>
      <c r="K40" s="62"/>
      <c r="L40" s="62"/>
    </row>
    <row r="41" spans="1:12" s="102" customFormat="1" ht="16.5" customHeight="1" x14ac:dyDescent="0.25">
      <c r="A41" s="113" t="s">
        <v>62</v>
      </c>
      <c r="B41" s="98">
        <v>0.29006976672711066</v>
      </c>
      <c r="C41" s="114">
        <v>0.36649514008004574</v>
      </c>
      <c r="D41" s="114">
        <v>0.21844486782567277</v>
      </c>
      <c r="E41" s="106"/>
      <c r="G41" s="60"/>
      <c r="H41" s="62"/>
      <c r="I41" s="68"/>
      <c r="J41" s="62"/>
      <c r="K41" s="62"/>
      <c r="L41" s="62"/>
    </row>
    <row r="42" spans="1:12" s="88" customFormat="1" ht="14.25" customHeight="1" x14ac:dyDescent="0.25">
      <c r="A42" s="158" t="s">
        <v>65</v>
      </c>
      <c r="B42" s="158"/>
      <c r="C42" s="158"/>
      <c r="D42" s="158"/>
      <c r="E42" s="116"/>
      <c r="F42" s="116"/>
      <c r="G42" s="116"/>
      <c r="H42" s="117"/>
      <c r="I42" s="118"/>
      <c r="J42" s="117"/>
      <c r="K42" s="117"/>
      <c r="L42" s="117"/>
    </row>
    <row r="43" spans="1:12" ht="25.5" customHeight="1" x14ac:dyDescent="0.25">
      <c r="A43" s="159" t="s">
        <v>66</v>
      </c>
      <c r="B43" s="159"/>
      <c r="C43" s="159"/>
      <c r="D43" s="159"/>
      <c r="E43" s="119"/>
      <c r="F43" s="120"/>
      <c r="G43" s="120"/>
    </row>
    <row r="44" spans="1:12" s="102" customFormat="1" x14ac:dyDescent="0.25">
      <c r="A44" s="62"/>
      <c r="E44" s="60"/>
      <c r="F44" s="60"/>
      <c r="G44" s="60"/>
      <c r="H44" s="62"/>
      <c r="I44" s="68"/>
      <c r="J44" s="62"/>
      <c r="K44" s="62"/>
      <c r="L44" s="62"/>
    </row>
    <row r="45" spans="1:12" s="102" customFormat="1" x14ac:dyDescent="0.25">
      <c r="A45" s="62"/>
      <c r="E45" s="60"/>
      <c r="F45" s="60"/>
      <c r="G45" s="60"/>
      <c r="H45" s="62"/>
      <c r="I45" s="68"/>
      <c r="J45" s="62"/>
      <c r="K45" s="62"/>
      <c r="L45" s="62"/>
    </row>
    <row r="46" spans="1:12" s="102" customFormat="1" x14ac:dyDescent="0.25">
      <c r="A46" s="62"/>
      <c r="E46" s="60"/>
      <c r="F46" s="60"/>
      <c r="G46" s="60"/>
      <c r="H46" s="62"/>
      <c r="I46" s="68"/>
      <c r="J46" s="62"/>
      <c r="K46" s="62"/>
      <c r="L46" s="62"/>
    </row>
    <row r="47" spans="1:12" s="102" customFormat="1" x14ac:dyDescent="0.25">
      <c r="A47" s="62"/>
      <c r="E47" s="60"/>
      <c r="F47" s="60"/>
      <c r="G47" s="60"/>
      <c r="H47" s="62"/>
      <c r="I47" s="68"/>
      <c r="J47" s="62"/>
      <c r="K47" s="62"/>
      <c r="L47" s="62"/>
    </row>
    <row r="48" spans="1:12" s="102" customFormat="1" x14ac:dyDescent="0.25">
      <c r="A48" s="62"/>
      <c r="E48" s="60"/>
      <c r="F48" s="60"/>
      <c r="G48" s="60"/>
      <c r="H48" s="62"/>
      <c r="I48" s="68"/>
      <c r="J48" s="62"/>
      <c r="K48" s="62"/>
      <c r="L48" s="62"/>
    </row>
    <row r="49" spans="1:12" s="102" customFormat="1" x14ac:dyDescent="0.25">
      <c r="A49" s="62"/>
      <c r="E49" s="60"/>
      <c r="F49" s="60"/>
      <c r="G49" s="60"/>
      <c r="H49" s="62"/>
      <c r="I49" s="68"/>
      <c r="J49" s="62"/>
      <c r="K49" s="62"/>
      <c r="L49" s="62"/>
    </row>
    <row r="50" spans="1:12" s="102" customFormat="1" x14ac:dyDescent="0.25">
      <c r="A50" s="62"/>
      <c r="E50" s="60"/>
      <c r="F50" s="60"/>
      <c r="G50" s="60"/>
      <c r="H50" s="62"/>
      <c r="I50" s="68"/>
      <c r="J50" s="62"/>
      <c r="K50" s="62"/>
      <c r="L50" s="62"/>
    </row>
    <row r="51" spans="1:12" s="102" customFormat="1" x14ac:dyDescent="0.25">
      <c r="A51" s="62"/>
      <c r="E51" s="60"/>
      <c r="F51" s="60"/>
      <c r="G51" s="60"/>
      <c r="H51" s="62"/>
      <c r="I51" s="68"/>
      <c r="J51" s="62"/>
      <c r="K51" s="62"/>
      <c r="L51" s="62"/>
    </row>
    <row r="52" spans="1:12" s="102" customFormat="1" x14ac:dyDescent="0.25">
      <c r="A52" s="62"/>
      <c r="E52" s="60"/>
      <c r="F52" s="60"/>
      <c r="G52" s="60"/>
      <c r="H52" s="62"/>
      <c r="I52" s="68"/>
      <c r="J52" s="62"/>
      <c r="K52" s="62"/>
      <c r="L52" s="62"/>
    </row>
    <row r="53" spans="1:12" s="102" customFormat="1" x14ac:dyDescent="0.25">
      <c r="A53" s="62"/>
      <c r="E53" s="60"/>
      <c r="F53" s="60"/>
      <c r="G53" s="60"/>
      <c r="H53" s="62"/>
      <c r="I53" s="68"/>
      <c r="J53" s="62"/>
      <c r="K53" s="62"/>
      <c r="L53" s="62"/>
    </row>
    <row r="54" spans="1:12" s="102" customFormat="1" x14ac:dyDescent="0.25">
      <c r="A54" s="62"/>
      <c r="E54" s="60"/>
      <c r="F54" s="60"/>
      <c r="G54" s="60"/>
      <c r="H54" s="62"/>
      <c r="I54" s="68"/>
      <c r="J54" s="62"/>
      <c r="K54" s="62"/>
      <c r="L54" s="62"/>
    </row>
    <row r="55" spans="1:12" x14ac:dyDescent="0.25">
      <c r="A55" s="62"/>
    </row>
  </sheetData>
  <mergeCells count="9">
    <mergeCell ref="A37:D37"/>
    <mergeCell ref="A42:D42"/>
    <mergeCell ref="A43:D43"/>
    <mergeCell ref="A1:D1"/>
    <mergeCell ref="A11:D11"/>
    <mergeCell ref="A18:D18"/>
    <mergeCell ref="A22:D22"/>
    <mergeCell ref="A27:D27"/>
    <mergeCell ref="A31:D31"/>
  </mergeCells>
  <printOptions horizontalCentered="1"/>
  <pageMargins left="0.39370078740157483" right="0.39370078740157483" top="0.39370078740157483" bottom="0.39370078740157483" header="0" footer="0"/>
  <pageSetup paperSize="9"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Edades_Total sistema</vt:lpstr>
      <vt:lpstr>Resumen de datos</vt:lpstr>
      <vt:lpstr>'Edades_Total sistema'!Área_de_impresión</vt:lpstr>
      <vt:lpstr>'Resumen de datos'!Área_de_impresión</vt:lpstr>
      <vt:lpstr>Datos_básicos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Santamaria Poza</dc:creator>
  <cp:lastModifiedBy>Jose Carlos Santamaria Poza</cp:lastModifiedBy>
  <dcterms:created xsi:type="dcterms:W3CDTF">2026-05-04T11:29:09Z</dcterms:created>
  <dcterms:modified xsi:type="dcterms:W3CDTF">2026-05-15T12:17:39Z</dcterms:modified>
</cp:coreProperties>
</file>